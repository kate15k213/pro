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498murase\Desktop\"/>
    </mc:Choice>
  </mc:AlternateContent>
  <workbookProtection workbookAlgorithmName="SHA-512" workbookHashValue="b+Qx9TI8DpsJRUTxvn0MphLYNT8HiiflZmaWNBP49rOcm92pUudtO7Jc741na2olvmfnkaWFdtwcvTGU0b5sBw==" workbookSaltValue="ArDi/5sSzgzk64sTBlXmWg==" workbookSpinCount="100000" lockStructure="1"/>
  <bookViews>
    <workbookView minimized="1" xWindow="1550" yWindow="1430" windowWidth="15830" windowHeight="12270"/>
  </bookViews>
  <sheets>
    <sheet name="提案用紙" sheetId="17" r:id="rId1"/>
  </sheets>
  <definedNames>
    <definedName name="_xlnm.Print_Area" localSheetId="0">提案用紙!$A$1:$AP$39</definedName>
  </definedNames>
  <calcPr calcId="162913"/>
</workbook>
</file>

<file path=xl/calcChain.xml><?xml version="1.0" encoding="utf-8"?>
<calcChain xmlns="http://schemas.openxmlformats.org/spreadsheetml/2006/main">
  <c r="X10" i="17" l="1"/>
  <c r="X11" i="17" s="1"/>
  <c r="J10" i="17"/>
  <c r="J11" i="17" s="1"/>
  <c r="AL9" i="17" l="1"/>
  <c r="AJ39" i="17"/>
  <c r="BF6" i="17"/>
  <c r="AL10" i="17"/>
  <c r="BC9" i="17" l="1"/>
  <c r="BE9" i="17" s="1"/>
  <c r="BG11" i="17"/>
  <c r="BG13" i="17"/>
  <c r="BG14" i="17"/>
  <c r="BG16" i="17"/>
  <c r="BG17" i="17"/>
  <c r="BG18" i="17"/>
  <c r="BG20" i="17"/>
  <c r="BE6" i="17" l="1"/>
  <c r="BG15" i="17"/>
  <c r="BF9" i="17"/>
  <c r="BC10" i="17"/>
  <c r="BE10" i="17" l="1"/>
  <c r="BC11" i="17" s="1"/>
  <c r="BH3" i="17"/>
  <c r="BF10" i="17" l="1"/>
  <c r="BE11" i="17"/>
  <c r="BC13" i="17" s="1"/>
  <c r="BE13" i="17" l="1"/>
  <c r="BC14" i="17" s="1"/>
  <c r="BF11" i="17"/>
  <c r="BF13" i="17" l="1"/>
  <c r="BH11" i="17"/>
  <c r="BE14" i="17"/>
  <c r="BC15" i="17" s="1"/>
  <c r="BH13" i="17" l="1"/>
  <c r="BE15" i="17"/>
  <c r="BC16" i="17" s="1"/>
  <c r="BF14" i="17"/>
  <c r="BF15" i="17" l="1"/>
  <c r="BH14" i="17"/>
  <c r="BE16" i="17"/>
  <c r="BC17" i="17" s="1"/>
  <c r="BH15" i="17" l="1"/>
  <c r="BE17" i="17"/>
  <c r="BC18" i="17" s="1"/>
  <c r="BF16" i="17"/>
  <c r="BH16" i="17" l="1"/>
  <c r="BE18" i="17"/>
  <c r="BC20" i="17" s="1"/>
  <c r="BF17" i="17"/>
  <c r="BH17" i="17" l="1"/>
  <c r="BF18" i="17"/>
  <c r="BE20" i="17"/>
  <c r="BC21" i="17" s="1"/>
  <c r="BH18" i="17" l="1"/>
  <c r="BF20" i="17"/>
  <c r="BE21" i="17"/>
  <c r="BC22" i="17" s="1"/>
  <c r="BH20" i="17" l="1"/>
  <c r="BG3" i="17" s="1"/>
  <c r="BE22" i="17"/>
  <c r="BF22" i="17" s="1"/>
  <c r="BF21" i="17"/>
  <c r="BF3" i="17"/>
  <c r="BE3" i="17"/>
  <c r="BG6" i="17" l="1"/>
  <c r="BH6" i="17" l="1"/>
</calcChain>
</file>

<file path=xl/sharedStrings.xml><?xml version="1.0" encoding="utf-8"?>
<sst xmlns="http://schemas.openxmlformats.org/spreadsheetml/2006/main" count="184" uniqueCount="143">
  <si>
    <t>合計</t>
    <rPh sb="0" eb="2">
      <t>ゴウケイ</t>
    </rPh>
    <phoneticPr fontId="2"/>
  </si>
  <si>
    <t>品質</t>
    <rPh sb="0" eb="2">
      <t>ヒンシツ</t>
    </rPh>
    <phoneticPr fontId="2"/>
  </si>
  <si>
    <t>安全</t>
    <rPh sb="0" eb="2">
      <t>アンゼン</t>
    </rPh>
    <phoneticPr fontId="2"/>
  </si>
  <si>
    <t>衛生</t>
    <rPh sb="0" eb="2">
      <t>エイセイ</t>
    </rPh>
    <phoneticPr fontId="2"/>
  </si>
  <si>
    <t>事務局</t>
    <rPh sb="0" eb="3">
      <t>ジムキョク</t>
    </rPh>
    <phoneticPr fontId="2"/>
  </si>
  <si>
    <t>委員</t>
    <rPh sb="0" eb="2">
      <t>イイン</t>
    </rPh>
    <phoneticPr fontId="2"/>
  </si>
  <si>
    <t>CS</t>
    <phoneticPr fontId="2"/>
  </si>
  <si>
    <t>機密</t>
    <rPh sb="0" eb="2">
      <t>キミツ</t>
    </rPh>
    <phoneticPr fontId="2"/>
  </si>
  <si>
    <t>環境</t>
    <rPh sb="0" eb="2">
      <t>カンキョウ</t>
    </rPh>
    <phoneticPr fontId="2"/>
  </si>
  <si>
    <t>納期</t>
    <rPh sb="0" eb="2">
      <t>ノウキ</t>
    </rPh>
    <phoneticPr fontId="2"/>
  </si>
  <si>
    <t>一般</t>
    <rPh sb="0" eb="2">
      <t>イッパン</t>
    </rPh>
    <phoneticPr fontId="2"/>
  </si>
  <si>
    <t>派遣</t>
    <rPh sb="0" eb="2">
      <t>ハケン</t>
    </rPh>
    <phoneticPr fontId="2"/>
  </si>
  <si>
    <t>嘱託</t>
    <rPh sb="0" eb="2">
      <t>ショクタク</t>
    </rPh>
    <phoneticPr fontId="2"/>
  </si>
  <si>
    <t>5月</t>
  </si>
  <si>
    <t>6月</t>
  </si>
  <si>
    <t>7月</t>
  </si>
  <si>
    <t>9月</t>
  </si>
  <si>
    <t>10月</t>
  </si>
  <si>
    <t>11月</t>
  </si>
  <si>
    <t>12月</t>
  </si>
  <si>
    <t>1月</t>
  </si>
  <si>
    <t>3月</t>
  </si>
  <si>
    <t>社員番号</t>
    <rPh sb="0" eb="2">
      <t>シャイン</t>
    </rPh>
    <rPh sb="2" eb="4">
      <t>バンゴウ</t>
    </rPh>
    <phoneticPr fontId="2"/>
  </si>
  <si>
    <t>社員区分</t>
    <rPh sb="0" eb="2">
      <t>シャイン</t>
    </rPh>
    <rPh sb="2" eb="4">
      <t>クブン</t>
    </rPh>
    <phoneticPr fontId="2"/>
  </si>
  <si>
    <t>部署名</t>
    <rPh sb="0" eb="2">
      <t>ブショ</t>
    </rPh>
    <rPh sb="2" eb="3">
      <t>メイ</t>
    </rPh>
    <phoneticPr fontId="2"/>
  </si>
  <si>
    <t>提出日</t>
    <rPh sb="0" eb="2">
      <t>テイシュツ</t>
    </rPh>
    <rPh sb="2" eb="3">
      <t>ビ</t>
    </rPh>
    <phoneticPr fontId="2"/>
  </si>
  <si>
    <t>件名</t>
    <rPh sb="0" eb="2">
      <t>ケンメイ</t>
    </rPh>
    <phoneticPr fontId="2"/>
  </si>
  <si>
    <t>年</t>
    <rPh sb="0" eb="1">
      <t>ネン</t>
    </rPh>
    <phoneticPr fontId="2"/>
  </si>
  <si>
    <t>月から</t>
    <rPh sb="0" eb="1">
      <t>ツキ</t>
    </rPh>
    <phoneticPr fontId="2"/>
  </si>
  <si>
    <t>無形効果</t>
    <rPh sb="0" eb="2">
      <t>ムケイ</t>
    </rPh>
    <rPh sb="2" eb="4">
      <t>コウカ</t>
    </rPh>
    <phoneticPr fontId="2"/>
  </si>
  <si>
    <t>4月</t>
    <rPh sb="1" eb="2">
      <t>ガツ</t>
    </rPh>
    <phoneticPr fontId="2"/>
  </si>
  <si>
    <t>原価</t>
    <rPh sb="0" eb="2">
      <t>ゲンカ</t>
    </rPh>
    <phoneticPr fontId="2"/>
  </si>
  <si>
    <t>終了日</t>
    <rPh sb="0" eb="3">
      <t>シュウリョウビ</t>
    </rPh>
    <phoneticPr fontId="2"/>
  </si>
  <si>
    <t>～</t>
    <phoneticPr fontId="2"/>
  </si>
  <si>
    <t>有形効果</t>
    <rPh sb="0" eb="2">
      <t>ユウケイ</t>
    </rPh>
    <rPh sb="2" eb="4">
      <t>コウカ</t>
    </rPh>
    <phoneticPr fontId="2"/>
  </si>
  <si>
    <t>パート</t>
    <phoneticPr fontId="2"/>
  </si>
  <si>
    <t>点数</t>
    <rPh sb="0" eb="2">
      <t>テンスウ</t>
    </rPh>
    <phoneticPr fontId="2"/>
  </si>
  <si>
    <t>提案者</t>
    <rPh sb="0" eb="3">
      <t>テイアンシャ</t>
    </rPh>
    <phoneticPr fontId="2"/>
  </si>
  <si>
    <t>イベント加算</t>
    <rPh sb="4" eb="6">
      <t>カサン</t>
    </rPh>
    <phoneticPr fontId="2"/>
  </si>
  <si>
    <t>8月</t>
    <phoneticPr fontId="2"/>
  </si>
  <si>
    <t>2月</t>
    <phoneticPr fontId="2"/>
  </si>
  <si>
    <t>年度</t>
    <rPh sb="0" eb="2">
      <t>ネンド</t>
    </rPh>
    <phoneticPr fontId="2"/>
  </si>
  <si>
    <t>開始日</t>
    <rPh sb="0" eb="3">
      <t>カイシビ</t>
    </rPh>
    <phoneticPr fontId="2"/>
  </si>
  <si>
    <t>-</t>
    <phoneticPr fontId="2"/>
  </si>
  <si>
    <t>イベント月</t>
    <rPh sb="4" eb="5">
      <t>ツキ</t>
    </rPh>
    <phoneticPr fontId="2"/>
  </si>
  <si>
    <t>加算対象</t>
    <rPh sb="0" eb="2">
      <t>カサン</t>
    </rPh>
    <rPh sb="2" eb="4">
      <t>タイショウ</t>
    </rPh>
    <phoneticPr fontId="2"/>
  </si>
  <si>
    <t>内容</t>
    <rPh sb="0" eb="2">
      <t>ナイヨウ</t>
    </rPh>
    <phoneticPr fontId="2"/>
  </si>
  <si>
    <t>月</t>
    <rPh sb="0" eb="1">
      <t>ツキ</t>
    </rPh>
    <phoneticPr fontId="2"/>
  </si>
  <si>
    <t>区分</t>
    <rPh sb="0" eb="2">
      <t>クブン</t>
    </rPh>
    <phoneticPr fontId="2"/>
  </si>
  <si>
    <t>優秀提案</t>
    <rPh sb="0" eb="2">
      <t>ユウシュウ</t>
    </rPh>
    <rPh sb="2" eb="4">
      <t>テイアン</t>
    </rPh>
    <phoneticPr fontId="2"/>
  </si>
  <si>
    <t>部署</t>
    <rPh sb="0" eb="2">
      <t>ブショ</t>
    </rPh>
    <phoneticPr fontId="2"/>
  </si>
  <si>
    <t>↓年度初めに更新</t>
    <rPh sb="1" eb="3">
      <t>ネンド</t>
    </rPh>
    <rPh sb="3" eb="4">
      <t>ハジ</t>
    </rPh>
    <rPh sb="6" eb="8">
      <t>コウシン</t>
    </rPh>
    <phoneticPr fontId="2"/>
  </si>
  <si>
    <t>　　シンテックホズミ創意工夫委員会  帳178</t>
    <phoneticPr fontId="2"/>
  </si>
  <si>
    <t>-</t>
    <phoneticPr fontId="2"/>
  </si>
  <si>
    <t>受付No</t>
    <rPh sb="0" eb="2">
      <t>ウケツケ</t>
    </rPh>
    <phoneticPr fontId="2"/>
  </si>
  <si>
    <t>実施時期(西暦)</t>
    <rPh sb="0" eb="2">
      <t>ジッシ</t>
    </rPh>
    <rPh sb="2" eb="4">
      <t>ジキ</t>
    </rPh>
    <rPh sb="5" eb="7">
      <t>セイレキ</t>
    </rPh>
    <phoneticPr fontId="2"/>
  </si>
  <si>
    <t>採点結果</t>
    <rPh sb="0" eb="2">
      <t>サイテン</t>
    </rPh>
    <rPh sb="2" eb="4">
      <t>ケッカ</t>
    </rPh>
    <phoneticPr fontId="2"/>
  </si>
  <si>
    <t>対象Chk</t>
    <rPh sb="0" eb="2">
      <t>タイショウ</t>
    </rPh>
    <phoneticPr fontId="2"/>
  </si>
  <si>
    <t>★事務局用★</t>
    <rPh sb="1" eb="4">
      <t>ジムキョク</t>
    </rPh>
    <rPh sb="4" eb="5">
      <t>ヨウ</t>
    </rPh>
    <phoneticPr fontId="2"/>
  </si>
  <si>
    <t>西暦</t>
    <rPh sb="0" eb="2">
      <t>セイレキ</t>
    </rPh>
    <phoneticPr fontId="2"/>
  </si>
  <si>
    <t>月</t>
    <rPh sb="0" eb="1">
      <t>ツキ</t>
    </rPh>
    <phoneticPr fontId="2"/>
  </si>
  <si>
    <t>--</t>
  </si>
  <si>
    <t>開発センター　開発部</t>
  </si>
  <si>
    <t>開発センター　開発部　要素技術開発室</t>
  </si>
  <si>
    <t>開発センター　開発部　ITイノベーション室</t>
  </si>
  <si>
    <t>開発センター　RaaS Lab</t>
  </si>
  <si>
    <t>CS事業部</t>
  </si>
  <si>
    <t>CS事業部　CS事業統括室</t>
  </si>
  <si>
    <t>CS事業部　SIクリエイト部</t>
  </si>
  <si>
    <t>CS事業部　SIクリエイト部　RI1室</t>
  </si>
  <si>
    <t>CS事業部　SIクリエイト部　RI2室</t>
  </si>
  <si>
    <t>CS事業部　SIクリエイト部　TD室</t>
  </si>
  <si>
    <t>CS事業部　DIクリエイト部</t>
  </si>
  <si>
    <t>CS事業部　DIクリエイト部　CD室</t>
  </si>
  <si>
    <t>CS事業部　DIクリエイト部　EWD室</t>
  </si>
  <si>
    <t>東日本オフィス</t>
  </si>
  <si>
    <t>Dxソリューション事業部</t>
  </si>
  <si>
    <t>Dxソリューション事業部　Dxソリューション企画室</t>
  </si>
  <si>
    <t>Smr物流ソリューション事業部</t>
  </si>
  <si>
    <t>搬送システム事業部</t>
  </si>
  <si>
    <t>搬送システム事業部　搬送システム開発部</t>
  </si>
  <si>
    <t>搬送システム事業部　搬送システムSE部</t>
  </si>
  <si>
    <t>搬送システム事業部　搬送システム製造部</t>
  </si>
  <si>
    <t>FS事業部</t>
  </si>
  <si>
    <t>FS事業部　FS事業統括室</t>
  </si>
  <si>
    <t>1. 今までのやり方／問題点</t>
    <rPh sb="11" eb="14">
      <t>モンダイテン</t>
    </rPh>
    <phoneticPr fontId="2"/>
  </si>
  <si>
    <t>2. 改善内容</t>
    <rPh sb="3" eb="5">
      <t>カイゼン</t>
    </rPh>
    <rPh sb="5" eb="7">
      <t>ナイヨウ</t>
    </rPh>
    <phoneticPr fontId="2"/>
  </si>
  <si>
    <t>改善前</t>
    <rPh sb="0" eb="2">
      <t>カイゼン</t>
    </rPh>
    <rPh sb="2" eb="3">
      <t>マエ</t>
    </rPh>
    <phoneticPr fontId="2"/>
  </si>
  <si>
    <t>(単位:円/月)</t>
    <phoneticPr fontId="2"/>
  </si>
  <si>
    <t>改善後</t>
    <rPh sb="0" eb="2">
      <t>カイゼン</t>
    </rPh>
    <rPh sb="2" eb="3">
      <t>ゴ</t>
    </rPh>
    <phoneticPr fontId="2"/>
  </si>
  <si>
    <t>効果金額</t>
    <rPh sb="0" eb="2">
      <t>コウカ</t>
    </rPh>
    <rPh sb="2" eb="4">
      <t>キンガク</t>
    </rPh>
    <phoneticPr fontId="2"/>
  </si>
  <si>
    <t>①金額</t>
    <rPh sb="1" eb="3">
      <t>キンガク</t>
    </rPh>
    <phoneticPr fontId="2"/>
  </si>
  <si>
    <t>→</t>
    <phoneticPr fontId="2"/>
  </si>
  <si>
    <t>④金額</t>
    <rPh sb="1" eb="3">
      <t>キンガク</t>
    </rPh>
    <phoneticPr fontId="2"/>
  </si>
  <si>
    <t>　③改善前－⑥改善後=</t>
    <rPh sb="2" eb="4">
      <t>カイゼン</t>
    </rPh>
    <rPh sb="4" eb="5">
      <t>マエ</t>
    </rPh>
    <rPh sb="7" eb="9">
      <t>カイゼン</t>
    </rPh>
    <rPh sb="9" eb="10">
      <t>ゴ</t>
    </rPh>
    <phoneticPr fontId="2"/>
  </si>
  <si>
    <t>②工数</t>
    <rPh sb="1" eb="3">
      <t>コウスウ</t>
    </rPh>
    <phoneticPr fontId="2"/>
  </si>
  <si>
    <t>ｈ×3,500=</t>
    <phoneticPr fontId="2"/>
  </si>
  <si>
    <t>⑤工数</t>
    <rPh sb="1" eb="3">
      <t>コウスウ</t>
    </rPh>
    <phoneticPr fontId="2"/>
  </si>
  <si>
    <t>③合計</t>
    <rPh sb="1" eb="3">
      <t>ゴウケイ</t>
    </rPh>
    <phoneticPr fontId="2"/>
  </si>
  <si>
    <t>　①＋②=</t>
    <phoneticPr fontId="2"/>
  </si>
  <si>
    <t>⑥合計</t>
    <rPh sb="1" eb="3">
      <t>ゴウケイ</t>
    </rPh>
    <phoneticPr fontId="2"/>
  </si>
  <si>
    <t>　④＋⑤=</t>
    <phoneticPr fontId="2"/>
  </si>
  <si>
    <t>(参考)有形効果換算額</t>
    <rPh sb="1" eb="3">
      <t>サンコウ</t>
    </rPh>
    <rPh sb="4" eb="6">
      <t>ユウケイ</t>
    </rPh>
    <rPh sb="6" eb="8">
      <t>コウカ</t>
    </rPh>
    <rPh sb="8" eb="10">
      <t>カンサン</t>
    </rPh>
    <rPh sb="10" eb="11">
      <t>ガク</t>
    </rPh>
    <phoneticPr fontId="2"/>
  </si>
  <si>
    <t>※換算額が3,200円以上時、優秀提案</t>
    <rPh sb="1" eb="3">
      <t>カンサン</t>
    </rPh>
    <rPh sb="3" eb="4">
      <t>ガク</t>
    </rPh>
    <rPh sb="10" eb="11">
      <t>エン</t>
    </rPh>
    <rPh sb="11" eb="13">
      <t>イジョウ</t>
    </rPh>
    <rPh sb="13" eb="14">
      <t>ジ</t>
    </rPh>
    <rPh sb="15" eb="19">
      <t>ユウシュウテイアン</t>
    </rPh>
    <phoneticPr fontId="2"/>
  </si>
  <si>
    <t>コーポレートセンター　SDGs推進/ファシリティマネジメント室</t>
  </si>
  <si>
    <t>コーポレートセンター　調達室</t>
  </si>
  <si>
    <t>コーポレートセンター　コーポレートIT室</t>
  </si>
  <si>
    <t>コーポレートセンター　経営企画部</t>
  </si>
  <si>
    <t>コーポレートセンター　経営企画部　経理室</t>
  </si>
  <si>
    <t>コーポレートセンター　経営企画部　広報室</t>
  </si>
  <si>
    <t>コーポレートセンター　経営企画部　グローバルビジネス企画室</t>
  </si>
  <si>
    <t>コーポレートセンター　人事総務部</t>
  </si>
  <si>
    <t>コーポレートセンター　人事総務部　人事総務室</t>
  </si>
  <si>
    <t>コーポレートセンター　プロジェクト推進部</t>
  </si>
  <si>
    <t>コーポレートセンター　プロジェクト推進部　生産管理室</t>
  </si>
  <si>
    <t>コーポレートセンター　プロジェクト推進部　プロジェクト推進室</t>
  </si>
  <si>
    <t>コーポレートセンター　プロジェクト推進部　TPS推進室</t>
  </si>
  <si>
    <t>オペレーションプラットフォーム開発室</t>
  </si>
  <si>
    <t>Smr物流ソリューション事業部　Smr物流ソリューション営業室</t>
  </si>
  <si>
    <t>Smr物流ソリューション事業部　Smr物流プロダクトエンジニアリング室</t>
  </si>
  <si>
    <t>搬送システム事業部　搬送システム営業部</t>
  </si>
  <si>
    <t>FS事業部　プロセスイノベーション室</t>
  </si>
  <si>
    <t>FS事業部　マシニングイノベーション室</t>
  </si>
  <si>
    <t>アフターサービス事業部</t>
  </si>
  <si>
    <t>アフターサービス事業部　サービスオペレーション室</t>
  </si>
  <si>
    <t>コーポレートセンター　経営企画部　経営企画室</t>
    <rPh sb="17" eb="19">
      <t>ケイエイ</t>
    </rPh>
    <rPh sb="19" eb="22">
      <t>キカクシツ</t>
    </rPh>
    <phoneticPr fontId="2"/>
  </si>
  <si>
    <t>22年度版'22/04</t>
    <phoneticPr fontId="2"/>
  </si>
  <si>
    <t>1498</t>
    <phoneticPr fontId="2"/>
  </si>
  <si>
    <t>村瀬　廣起</t>
    <rPh sb="0" eb="2">
      <t>ムラセ</t>
    </rPh>
    <rPh sb="3" eb="4">
      <t>ヒロ</t>
    </rPh>
    <rPh sb="4" eb="5">
      <t>オ</t>
    </rPh>
    <phoneticPr fontId="2"/>
  </si>
  <si>
    <t>改善内容</t>
    <phoneticPr fontId="2"/>
  </si>
  <si>
    <t>効果</t>
    <rPh sb="0" eb="2">
      <t>コウカ</t>
    </rPh>
    <phoneticPr fontId="2"/>
  </si>
  <si>
    <t>Zaisekiの瞬時入力</t>
    <rPh sb="8" eb="10">
      <t>シュンジ</t>
    </rPh>
    <rPh sb="10" eb="12">
      <t>ニュウリョク</t>
    </rPh>
    <phoneticPr fontId="2"/>
  </si>
  <si>
    <t>今までのやり方：chromeから立ち上げてZaisekiを入力していた。</t>
    <rPh sb="0" eb="1">
      <t>イマ</t>
    </rPh>
    <rPh sb="6" eb="7">
      <t>カタ</t>
    </rPh>
    <rPh sb="16" eb="17">
      <t>タ</t>
    </rPh>
    <rPh sb="18" eb="19">
      <t>ア</t>
    </rPh>
    <rPh sb="29" eb="31">
      <t>ニュウリョク</t>
    </rPh>
    <phoneticPr fontId="2"/>
  </si>
  <si>
    <t>　 ・zaisekiを入力し忘れてしまうことがあった。</t>
    <rPh sb="11" eb="13">
      <t>ニュウリョク</t>
    </rPh>
    <rPh sb="14" eb="15">
      <t>ワス</t>
    </rPh>
    <phoneticPr fontId="2"/>
  </si>
  <si>
    <t>問題点：・chromeを立ち上げないといけないため、zaisekiを入力するのに時間がかかってしまう。</t>
    <rPh sb="12" eb="13">
      <t>タ</t>
    </rPh>
    <rPh sb="14" eb="15">
      <t>ア</t>
    </rPh>
    <phoneticPr fontId="2"/>
  </si>
  <si>
    <t>・入力時間を短縮することができた</t>
    <rPh sb="1" eb="5">
      <t>ニュウリョクジカン</t>
    </rPh>
    <rPh sb="6" eb="8">
      <t>タンシュク</t>
    </rPh>
    <phoneticPr fontId="2"/>
  </si>
  <si>
    <t>・Zaisekiの入力忘れがなくなった。</t>
    <rPh sb="9" eb="11">
      <t>ニュウリョク</t>
    </rPh>
    <rPh sb="11" eb="12">
      <t>ワス</t>
    </rPh>
    <phoneticPr fontId="2"/>
  </si>
  <si>
    <t>改善前：0.2h/回　×　20回/月　＝　4h/月</t>
    <phoneticPr fontId="2"/>
  </si>
  <si>
    <t>改善後：0.1h/回　×　20回/月　＝　2h/月</t>
    <phoneticPr fontId="2"/>
  </si>
  <si>
    <t>・windowsのスタートアップツールを使いzaisekiのショートカットをスタートアップフォルダに追加、pc起動時に自動的に</t>
    <rPh sb="20" eb="21">
      <t>ツカ</t>
    </rPh>
    <rPh sb="50" eb="52">
      <t>ツイカ</t>
    </rPh>
    <rPh sb="55" eb="58">
      <t>キドウジ</t>
    </rPh>
    <rPh sb="59" eb="62">
      <t>ジドウテキ</t>
    </rPh>
    <phoneticPr fontId="2"/>
  </si>
  <si>
    <t>Zaisekiのページが表示されるように設定した。</t>
    <rPh sb="20" eb="22">
      <t>セッテイ</t>
    </rPh>
    <phoneticPr fontId="2"/>
  </si>
  <si>
    <t>毎日出勤時にパソコン起動時し、chromeを立ち上げてzaisekiを入力していた</t>
    <rPh sb="0" eb="2">
      <t>マイニチ</t>
    </rPh>
    <rPh sb="2" eb="4">
      <t>シュッキン</t>
    </rPh>
    <rPh sb="4" eb="5">
      <t>ジ</t>
    </rPh>
    <rPh sb="10" eb="13">
      <t>キドウジ</t>
    </rPh>
    <rPh sb="22" eb="23">
      <t>タ</t>
    </rPh>
    <rPh sb="24" eb="25">
      <t>ア</t>
    </rPh>
    <rPh sb="35" eb="37">
      <t>ニュウリョク</t>
    </rPh>
    <phoneticPr fontId="2"/>
  </si>
  <si>
    <t>ｚaiseki→（出席確認機能）</t>
    <rPh sb="9" eb="11">
      <t>シュッセキ</t>
    </rPh>
    <rPh sb="11" eb="13">
      <t>カクニン</t>
    </rPh>
    <rPh sb="13" eb="15">
      <t>キノウ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</si>
</sst>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6" formatCode="&quot;¥&quot;#,##0;[Red]&quot;¥&quot;\-#,##0"/>
    <numFmt numFmtId="176" formatCode="yy/mm/dd"/>
    <numFmt numFmtId="177" formatCode="yyyy/mm/dd"/>
    <numFmt numFmtId="178" formatCode="yyyy&quot;年&quot;m&quot;月&quot;d&quot;日&quot;;@"/>
    <numFmt numFmtId="179" formatCode="0.0"/>
    <numFmt numFmtId="180" formatCode="#,###&quot;円&quot;"/>
  </numFmts>
  <fonts count="1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Meiryo UI"/>
      <family val="3"/>
      <charset val="128"/>
    </font>
    <font>
      <sz val="10"/>
      <name val="Meiryo UI"/>
      <family val="3"/>
      <charset val="128"/>
    </font>
    <font>
      <sz val="6"/>
      <name val="Meiryo Ui"/>
      <family val="3"/>
      <charset val="128"/>
    </font>
    <font>
      <sz val="4"/>
      <name val="Meiryo UI"/>
      <family val="3"/>
      <charset val="128"/>
    </font>
    <font>
      <sz val="18"/>
      <name val="Meiryo UI"/>
      <family val="3"/>
      <charset val="128"/>
    </font>
    <font>
      <sz val="9"/>
      <name val="Meiryo UI"/>
      <family val="3"/>
      <charset val="128"/>
    </font>
    <font>
      <sz val="11"/>
      <name val="Meiryo Ui"/>
      <family val="3"/>
      <charset val="128"/>
    </font>
    <font>
      <sz val="10.5"/>
      <color theme="1"/>
      <name val="ＭＳ Ｐ明朝"/>
      <family val="1"/>
      <charset val="128"/>
    </font>
    <font>
      <sz val="10"/>
      <color rgb="FFC00000"/>
      <name val="Meiryo UI"/>
      <family val="3"/>
      <charset val="128"/>
    </font>
    <font>
      <sz val="10"/>
      <color rgb="FF002060"/>
      <name val="Meiryo UI"/>
      <family val="3"/>
      <charset val="128"/>
    </font>
    <font>
      <sz val="10"/>
      <color rgb="FFFF0000"/>
      <name val="Meiryo UI"/>
      <family val="3"/>
      <charset val="128"/>
    </font>
    <font>
      <sz val="8.5"/>
      <name val="Meiryo UI"/>
      <family val="3"/>
      <charset val="128"/>
    </font>
    <font>
      <b/>
      <sz val="20"/>
      <name val="Meiryo UI"/>
      <family val="3"/>
      <charset val="128"/>
    </font>
    <font>
      <sz val="10"/>
      <color rgb="FF000000"/>
      <name val="Meiryo UI"/>
      <family val="3"/>
      <charset val="128"/>
    </font>
    <font>
      <b/>
      <sz val="1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</fills>
  <borders count="38">
    <border>
      <left/>
      <right/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>
      <alignment vertical="center"/>
    </xf>
    <xf numFmtId="0" fontId="10" fillId="0" borderId="0">
      <alignment vertical="center"/>
    </xf>
  </cellStyleXfs>
  <cellXfs count="156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7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Protection="1"/>
    <xf numFmtId="0" fontId="4" fillId="0" borderId="0" xfId="0" applyFont="1" applyFill="1" applyProtection="1"/>
    <xf numFmtId="0" fontId="9" fillId="0" borderId="0" xfId="0" applyFont="1"/>
    <xf numFmtId="0" fontId="9" fillId="0" borderId="0" xfId="0" applyFont="1" applyBorder="1"/>
    <xf numFmtId="0" fontId="9" fillId="0" borderId="0" xfId="0" applyFont="1" applyBorder="1" applyProtection="1"/>
    <xf numFmtId="0" fontId="8" fillId="0" borderId="0" xfId="0" applyFont="1" applyBorder="1" applyAlignment="1" applyProtection="1">
      <alignment horizontal="left"/>
    </xf>
    <xf numFmtId="0" fontId="3" fillId="0" borderId="0" xfId="0" applyFont="1" applyAlignment="1" applyProtection="1">
      <alignment vertical="top"/>
    </xf>
    <xf numFmtId="0" fontId="3" fillId="0" borderId="0" xfId="0" applyFont="1" applyProtection="1"/>
    <xf numFmtId="0" fontId="3" fillId="0" borderId="0" xfId="0" applyFont="1" applyBorder="1" applyProtection="1"/>
    <xf numFmtId="0" fontId="3" fillId="0" borderId="0" xfId="0" applyFont="1" applyBorder="1" applyAlignment="1" applyProtection="1">
      <alignment horizontal="left"/>
      <protection locked="0"/>
    </xf>
    <xf numFmtId="0" fontId="4" fillId="0" borderId="0" xfId="0" applyFont="1" applyBorder="1"/>
    <xf numFmtId="0" fontId="3" fillId="0" borderId="0" xfId="0" applyFont="1"/>
    <xf numFmtId="0" fontId="4" fillId="0" borderId="10" xfId="0" applyFont="1" applyBorder="1" applyAlignment="1">
      <alignment vertical="center"/>
    </xf>
    <xf numFmtId="0" fontId="4" fillId="0" borderId="10" xfId="0" applyFont="1" applyBorder="1"/>
    <xf numFmtId="177" fontId="4" fillId="0" borderId="10" xfId="0" applyNumberFormat="1" applyFont="1" applyBorder="1" applyAlignment="1">
      <alignment horizontal="center"/>
    </xf>
    <xf numFmtId="177" fontId="4" fillId="0" borderId="11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0" fontId="4" fillId="0" borderId="10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/>
    </xf>
    <xf numFmtId="177" fontId="4" fillId="0" borderId="15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76" fontId="4" fillId="0" borderId="0" xfId="0" applyNumberFormat="1" applyFont="1" applyAlignment="1">
      <alignment vertical="center"/>
    </xf>
    <xf numFmtId="176" fontId="4" fillId="0" borderId="0" xfId="0" applyNumberFormat="1" applyFont="1"/>
    <xf numFmtId="176" fontId="4" fillId="0" borderId="16" xfId="0" applyNumberFormat="1" applyFont="1" applyBorder="1" applyAlignment="1">
      <alignment horizontal="center" vertical="center"/>
    </xf>
    <xf numFmtId="176" fontId="9" fillId="0" borderId="0" xfId="0" applyNumberFormat="1" applyFont="1"/>
    <xf numFmtId="176" fontId="4" fillId="0" borderId="19" xfId="0" applyNumberFormat="1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6" fontId="4" fillId="0" borderId="10" xfId="0" applyNumberFormat="1" applyFont="1" applyBorder="1" applyAlignment="1">
      <alignment horizontal="center" vertical="center"/>
    </xf>
    <xf numFmtId="38" fontId="4" fillId="0" borderId="10" xfId="1" applyFont="1" applyBorder="1" applyAlignment="1">
      <alignment horizontal="center"/>
    </xf>
    <xf numFmtId="0" fontId="4" fillId="0" borderId="10" xfId="0" applyFont="1" applyBorder="1" applyAlignment="1">
      <alignment horizontal="center" vertical="center" shrinkToFit="1"/>
    </xf>
    <xf numFmtId="6" fontId="4" fillId="0" borderId="10" xfId="2" applyFont="1" applyBorder="1" applyAlignment="1"/>
    <xf numFmtId="0" fontId="4" fillId="0" borderId="14" xfId="0" applyFont="1" applyBorder="1"/>
    <xf numFmtId="0" fontId="13" fillId="0" borderId="0" xfId="0" applyFont="1" applyAlignment="1">
      <alignment vertical="center"/>
    </xf>
    <xf numFmtId="0" fontId="4" fillId="0" borderId="15" xfId="0" applyFont="1" applyBorder="1"/>
    <xf numFmtId="0" fontId="4" fillId="0" borderId="2" xfId="0" applyFont="1" applyBorder="1"/>
    <xf numFmtId="0" fontId="4" fillId="0" borderId="17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17" xfId="0" applyFont="1" applyBorder="1"/>
    <xf numFmtId="0" fontId="4" fillId="0" borderId="12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4" fillId="0" borderId="10" xfId="0" quotePrefix="1" applyFont="1" applyBorder="1"/>
    <xf numFmtId="176" fontId="8" fillId="0" borderId="2" xfId="0" applyNumberFormat="1" applyFont="1" applyBorder="1" applyAlignment="1">
      <alignment shrinkToFit="1"/>
    </xf>
    <xf numFmtId="176" fontId="8" fillId="0" borderId="14" xfId="0" applyNumberFormat="1" applyFont="1" applyBorder="1" applyAlignment="1">
      <alignment shrinkToFit="1"/>
    </xf>
    <xf numFmtId="0" fontId="8" fillId="0" borderId="0" xfId="0" applyFont="1"/>
    <xf numFmtId="176" fontId="8" fillId="0" borderId="3" xfId="0" applyNumberFormat="1" applyFont="1" applyBorder="1" applyAlignment="1">
      <alignment shrinkToFit="1"/>
    </xf>
    <xf numFmtId="176" fontId="8" fillId="0" borderId="11" xfId="0" applyNumberFormat="1" applyFont="1" applyBorder="1" applyAlignment="1">
      <alignment shrinkToFit="1"/>
    </xf>
    <xf numFmtId="0" fontId="4" fillId="0" borderId="0" xfId="0" applyNumberFormat="1" applyFont="1"/>
    <xf numFmtId="38" fontId="4" fillId="0" borderId="10" xfId="1" applyFont="1" applyBorder="1" applyAlignment="1">
      <alignment horizontal="center" shrinkToFit="1"/>
    </xf>
    <xf numFmtId="0" fontId="8" fillId="0" borderId="0" xfId="0" applyNumberFormat="1" applyFont="1"/>
    <xf numFmtId="0" fontId="8" fillId="2" borderId="4" xfId="0" applyFont="1" applyFill="1" applyBorder="1" applyAlignment="1" applyProtection="1">
      <alignment vertical="center"/>
    </xf>
    <xf numFmtId="0" fontId="8" fillId="2" borderId="5" xfId="0" applyFont="1" applyFill="1" applyBorder="1" applyAlignment="1" applyProtection="1">
      <alignment vertical="center"/>
    </xf>
    <xf numFmtId="0" fontId="8" fillId="2" borderId="4" xfId="0" quotePrefix="1" applyFont="1" applyFill="1" applyBorder="1" applyAlignment="1" applyProtection="1">
      <alignment vertical="center"/>
    </xf>
    <xf numFmtId="0" fontId="8" fillId="2" borderId="6" xfId="0" applyFont="1" applyFill="1" applyBorder="1" applyAlignment="1" applyProtection="1">
      <alignment vertical="center"/>
    </xf>
    <xf numFmtId="0" fontId="8" fillId="0" borderId="7" xfId="0" applyFont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vertical="center"/>
      <protection locked="0"/>
    </xf>
    <xf numFmtId="0" fontId="8" fillId="0" borderId="8" xfId="0" applyFont="1" applyBorder="1" applyAlignment="1" applyProtection="1">
      <alignment vertical="center"/>
      <protection locked="0"/>
    </xf>
    <xf numFmtId="0" fontId="8" fillId="0" borderId="2" xfId="0" applyFont="1" applyBorder="1" applyAlignment="1" applyProtection="1">
      <alignment vertical="center"/>
      <protection locked="0"/>
    </xf>
    <xf numFmtId="0" fontId="8" fillId="0" borderId="3" xfId="0" applyFont="1" applyBorder="1" applyAlignment="1" applyProtection="1">
      <alignment vertical="center"/>
      <protection locked="0"/>
    </xf>
    <xf numFmtId="0" fontId="8" fillId="0" borderId="9" xfId="0" applyFont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right" vertical="top"/>
    </xf>
    <xf numFmtId="0" fontId="3" fillId="0" borderId="0" xfId="0" applyFont="1" applyAlignment="1" applyProtection="1">
      <alignment vertical="center"/>
    </xf>
    <xf numFmtId="0" fontId="4" fillId="0" borderId="0" xfId="0" applyFont="1" applyAlignment="1" applyProtection="1">
      <alignment vertical="center"/>
    </xf>
    <xf numFmtId="0" fontId="7" fillId="0" borderId="0" xfId="0" applyFont="1" applyProtection="1"/>
    <xf numFmtId="0" fontId="5" fillId="0" borderId="0" xfId="0" applyFont="1" applyAlignment="1" applyProtection="1">
      <alignment vertical="center"/>
    </xf>
    <xf numFmtId="0" fontId="6" fillId="0" borderId="0" xfId="0" applyFont="1" applyAlignment="1" applyProtection="1">
      <alignment horizontal="left" vertical="center"/>
    </xf>
    <xf numFmtId="0" fontId="4" fillId="0" borderId="1" xfId="0" applyFont="1" applyFill="1" applyBorder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0" fontId="11" fillId="0" borderId="0" xfId="0" applyFont="1" applyAlignment="1" applyProtection="1"/>
    <xf numFmtId="0" fontId="11" fillId="0" borderId="0" xfId="0" applyFont="1" applyProtection="1"/>
    <xf numFmtId="0" fontId="12" fillId="0" borderId="0" xfId="0" applyFont="1" applyProtection="1"/>
    <xf numFmtId="0" fontId="4" fillId="0" borderId="0" xfId="0" applyNumberFormat="1" applyFont="1" applyProtection="1"/>
    <xf numFmtId="0" fontId="11" fillId="0" borderId="0" xfId="0" applyNumberFormat="1" applyFont="1" applyProtection="1"/>
    <xf numFmtId="0" fontId="9" fillId="0" borderId="0" xfId="0" applyFont="1" applyProtection="1"/>
    <xf numFmtId="49" fontId="4" fillId="0" borderId="0" xfId="0" applyNumberFormat="1" applyFont="1" applyBorder="1" applyAlignment="1" applyProtection="1">
      <alignment horizontal="center" vertical="center" shrinkToFit="1"/>
      <protection locked="0"/>
    </xf>
    <xf numFmtId="0" fontId="4" fillId="0" borderId="32" xfId="0" applyFont="1" applyBorder="1" applyAlignment="1"/>
    <xf numFmtId="0" fontId="4" fillId="0" borderId="32" xfId="0" applyFont="1" applyBorder="1"/>
    <xf numFmtId="0" fontId="4" fillId="0" borderId="34" xfId="0" applyFont="1" applyBorder="1" applyAlignment="1"/>
    <xf numFmtId="0" fontId="4" fillId="0" borderId="34" xfId="0" applyFont="1" applyBorder="1"/>
    <xf numFmtId="0" fontId="4" fillId="0" borderId="1" xfId="0" applyFont="1" applyBorder="1"/>
    <xf numFmtId="0" fontId="4" fillId="0" borderId="0" xfId="0" applyFont="1" applyProtection="1">
      <protection locked="0"/>
    </xf>
    <xf numFmtId="180" fontId="16" fillId="4" borderId="11" xfId="0" applyNumberFormat="1" applyFont="1" applyFill="1" applyBorder="1" applyAlignment="1" applyProtection="1">
      <alignment horizontal="right" vertical="center"/>
    </xf>
    <xf numFmtId="180" fontId="16" fillId="4" borderId="37" xfId="0" applyNumberFormat="1" applyFont="1" applyFill="1" applyBorder="1" applyAlignment="1" applyProtection="1">
      <alignment horizontal="right" vertical="center"/>
    </xf>
    <xf numFmtId="0" fontId="16" fillId="3" borderId="14" xfId="0" applyFont="1" applyFill="1" applyBorder="1" applyAlignment="1" applyProtection="1">
      <alignment horizontal="center" shrinkToFit="1"/>
    </xf>
    <xf numFmtId="0" fontId="16" fillId="3" borderId="11" xfId="0" applyFont="1" applyFill="1" applyBorder="1" applyAlignment="1" applyProtection="1">
      <alignment horizontal="center" shrinkToFit="1"/>
    </xf>
    <xf numFmtId="0" fontId="17" fillId="0" borderId="36" xfId="0" applyFont="1" applyBorder="1" applyAlignment="1">
      <alignment horizontal="center"/>
    </xf>
    <xf numFmtId="38" fontId="4" fillId="4" borderId="32" xfId="1" applyFont="1" applyFill="1" applyBorder="1" applyAlignment="1">
      <alignment shrinkToFit="1"/>
    </xf>
    <xf numFmtId="38" fontId="4" fillId="4" borderId="33" xfId="1" applyFont="1" applyFill="1" applyBorder="1" applyAlignment="1">
      <alignment shrinkToFit="1"/>
    </xf>
    <xf numFmtId="0" fontId="14" fillId="0" borderId="26" xfId="0" applyFont="1" applyBorder="1" applyAlignment="1">
      <alignment horizontal="left" vertical="center" shrinkToFit="1"/>
    </xf>
    <xf numFmtId="0" fontId="14" fillId="0" borderId="21" xfId="0" applyFont="1" applyBorder="1" applyAlignment="1">
      <alignment horizontal="left" vertical="center" shrinkToFit="1"/>
    </xf>
    <xf numFmtId="0" fontId="8" fillId="0" borderId="1" xfId="0" applyFont="1" applyBorder="1" applyAlignment="1">
      <alignment horizontal="right"/>
    </xf>
    <xf numFmtId="38" fontId="4" fillId="4" borderId="1" xfId="1" applyFont="1" applyFill="1" applyBorder="1" applyAlignment="1">
      <alignment shrinkToFit="1"/>
    </xf>
    <xf numFmtId="38" fontId="4" fillId="4" borderId="24" xfId="1" applyFont="1" applyFill="1" applyBorder="1" applyAlignment="1">
      <alignment shrinkToFit="1"/>
    </xf>
    <xf numFmtId="0" fontId="8" fillId="3" borderId="5" xfId="0" applyFont="1" applyFill="1" applyBorder="1" applyAlignment="1">
      <alignment horizontal="right" vertical="center"/>
    </xf>
    <xf numFmtId="0" fontId="8" fillId="3" borderId="6" xfId="0" applyFont="1" applyFill="1" applyBorder="1" applyAlignment="1">
      <alignment horizontal="right" vertical="center"/>
    </xf>
    <xf numFmtId="0" fontId="14" fillId="0" borderId="30" xfId="0" applyFont="1" applyBorder="1" applyAlignment="1">
      <alignment horizontal="left" vertical="center" shrinkToFit="1"/>
    </xf>
    <xf numFmtId="0" fontId="14" fillId="0" borderId="31" xfId="0" applyFont="1" applyBorder="1" applyAlignment="1">
      <alignment horizontal="left" vertical="center" shrinkToFit="1"/>
    </xf>
    <xf numFmtId="38" fontId="4" fillId="2" borderId="32" xfId="1" applyFont="1" applyFill="1" applyBorder="1" applyAlignment="1" applyProtection="1">
      <alignment horizontal="right" shrinkToFit="1"/>
      <protection locked="0"/>
    </xf>
    <xf numFmtId="38" fontId="4" fillId="2" borderId="33" xfId="1" applyFont="1" applyFill="1" applyBorder="1" applyAlignment="1" applyProtection="1">
      <alignment horizontal="right" shrinkToFit="1"/>
      <protection locked="0"/>
    </xf>
    <xf numFmtId="0" fontId="15" fillId="0" borderId="7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38" fontId="4" fillId="2" borderId="34" xfId="1" applyFont="1" applyFill="1" applyBorder="1" applyAlignment="1" applyProtection="1">
      <alignment shrinkToFit="1"/>
      <protection locked="0"/>
    </xf>
    <xf numFmtId="38" fontId="4" fillId="2" borderId="35" xfId="1" applyFont="1" applyFill="1" applyBorder="1" applyAlignment="1" applyProtection="1">
      <alignment shrinkToFit="1"/>
      <protection locked="0"/>
    </xf>
    <xf numFmtId="0" fontId="15" fillId="0" borderId="0" xfId="0" applyFont="1" applyBorder="1" applyAlignment="1">
      <alignment horizontal="center"/>
    </xf>
    <xf numFmtId="0" fontId="4" fillId="0" borderId="26" xfId="0" applyFont="1" applyBorder="1" applyAlignment="1">
      <alignment horizontal="right"/>
    </xf>
    <xf numFmtId="0" fontId="4" fillId="0" borderId="1" xfId="0" applyFont="1" applyBorder="1" applyAlignment="1">
      <alignment horizontal="right"/>
    </xf>
    <xf numFmtId="38" fontId="16" fillId="4" borderId="1" xfId="1" applyFont="1" applyFill="1" applyBorder="1" applyAlignment="1">
      <alignment horizontal="right" shrinkToFit="1"/>
    </xf>
    <xf numFmtId="38" fontId="16" fillId="4" borderId="24" xfId="1" applyFont="1" applyFill="1" applyBorder="1" applyAlignment="1">
      <alignment horizontal="right" shrinkToFit="1"/>
    </xf>
    <xf numFmtId="179" fontId="4" fillId="2" borderId="32" xfId="0" applyNumberFormat="1" applyFont="1" applyFill="1" applyBorder="1" applyAlignment="1" applyProtection="1">
      <alignment horizontal="right" shrinkToFit="1"/>
      <protection locked="0"/>
    </xf>
    <xf numFmtId="0" fontId="8" fillId="0" borderId="32" xfId="0" applyFont="1" applyBorder="1" applyAlignment="1">
      <alignment horizontal="right"/>
    </xf>
    <xf numFmtId="0" fontId="4" fillId="3" borderId="4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8" fillId="0" borderId="0" xfId="0" applyFont="1" applyBorder="1" applyAlignment="1" applyProtection="1">
      <alignment horizontal="right" vertical="top"/>
    </xf>
    <xf numFmtId="0" fontId="4" fillId="0" borderId="4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23" xfId="0" applyFont="1" applyBorder="1" applyAlignment="1" applyProtection="1">
      <alignment horizontal="center" vertical="center"/>
    </xf>
    <xf numFmtId="178" fontId="4" fillId="2" borderId="26" xfId="0" applyNumberFormat="1" applyFont="1" applyFill="1" applyBorder="1" applyAlignment="1" applyProtection="1">
      <alignment horizontal="center" vertical="center" shrinkToFit="1"/>
      <protection locked="0"/>
    </xf>
    <xf numFmtId="178" fontId="4" fillId="2" borderId="1" xfId="0" applyNumberFormat="1" applyFont="1" applyFill="1" applyBorder="1" applyAlignment="1" applyProtection="1">
      <alignment horizontal="center" vertical="center" shrinkToFit="1"/>
      <protection locked="0"/>
    </xf>
    <xf numFmtId="178" fontId="4" fillId="2" borderId="21" xfId="0" applyNumberFormat="1" applyFont="1" applyFill="1" applyBorder="1" applyAlignment="1" applyProtection="1">
      <alignment horizontal="center" vertical="center" shrinkToFit="1"/>
      <protection locked="0"/>
    </xf>
    <xf numFmtId="0" fontId="4" fillId="0" borderId="12" xfId="0" applyFont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0" fontId="4" fillId="0" borderId="22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49" fontId="4" fillId="0" borderId="20" xfId="0" applyNumberFormat="1" applyFont="1" applyBorder="1" applyAlignment="1" applyProtection="1">
      <alignment horizontal="center" vertical="center"/>
      <protection locked="0"/>
    </xf>
    <xf numFmtId="49" fontId="4" fillId="0" borderId="1" xfId="0" applyNumberFormat="1" applyFont="1" applyBorder="1" applyAlignment="1" applyProtection="1">
      <alignment horizontal="center" vertical="center"/>
      <protection locked="0"/>
    </xf>
    <xf numFmtId="49" fontId="4" fillId="0" borderId="2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</xf>
    <xf numFmtId="0" fontId="4" fillId="0" borderId="21" xfId="0" applyFont="1" applyFill="1" applyBorder="1" applyAlignment="1" applyProtection="1">
      <alignment horizontal="center" vertical="center"/>
    </xf>
    <xf numFmtId="49" fontId="4" fillId="0" borderId="24" xfId="0" applyNumberFormat="1" applyFont="1" applyBorder="1" applyAlignment="1" applyProtection="1">
      <alignment horizontal="center" vertical="center"/>
      <protection locked="0"/>
    </xf>
    <xf numFmtId="0" fontId="4" fillId="2" borderId="27" xfId="0" applyFont="1" applyFill="1" applyBorder="1" applyAlignment="1" applyProtection="1">
      <alignment horizontal="center" vertical="center" shrinkToFit="1"/>
      <protection locked="0"/>
    </xf>
    <xf numFmtId="49" fontId="4" fillId="0" borderId="1" xfId="0" applyNumberFormat="1" applyFont="1" applyBorder="1" applyAlignment="1" applyProtection="1">
      <alignment horizontal="center" vertical="center" shrinkToFit="1"/>
      <protection locked="0"/>
    </xf>
    <xf numFmtId="49" fontId="4" fillId="0" borderId="24" xfId="0" applyNumberFormat="1" applyFont="1" applyBorder="1" applyAlignment="1" applyProtection="1">
      <alignment horizontal="center" vertical="center" shrinkToFit="1"/>
      <protection locked="0"/>
    </xf>
    <xf numFmtId="0" fontId="4" fillId="2" borderId="1" xfId="0" applyFont="1" applyFill="1" applyBorder="1" applyAlignment="1" applyProtection="1">
      <alignment horizontal="right" vertical="center" shrinkToFit="1"/>
      <protection locked="0"/>
    </xf>
    <xf numFmtId="0" fontId="4" fillId="0" borderId="28" xfId="0" applyFont="1" applyBorder="1" applyAlignment="1" applyProtection="1">
      <alignment horizontal="center" vertical="center"/>
    </xf>
    <xf numFmtId="49" fontId="4" fillId="2" borderId="20" xfId="0" quotePrefix="1" applyNumberFormat="1" applyFont="1" applyFill="1" applyBorder="1" applyAlignment="1" applyProtection="1">
      <alignment horizontal="center" vertical="center" shrinkToFit="1"/>
      <protection locked="0"/>
    </xf>
    <xf numFmtId="49" fontId="4" fillId="2" borderId="1" xfId="0" applyNumberFormat="1" applyFont="1" applyFill="1" applyBorder="1" applyAlignment="1" applyProtection="1">
      <alignment horizontal="center" vertical="center" shrinkToFit="1"/>
      <protection locked="0"/>
    </xf>
    <xf numFmtId="49" fontId="4" fillId="2" borderId="21" xfId="0" applyNumberFormat="1" applyFont="1" applyFill="1" applyBorder="1" applyAlignment="1" applyProtection="1">
      <alignment horizontal="center" vertical="center" shrinkToFit="1"/>
      <protection locked="0"/>
    </xf>
    <xf numFmtId="0" fontId="4" fillId="2" borderId="29" xfId="0" applyFont="1" applyFill="1" applyBorder="1" applyAlignment="1" applyProtection="1">
      <alignment horizontal="center" vertical="center" shrinkToFit="1"/>
      <protection locked="0"/>
    </xf>
    <xf numFmtId="0" fontId="4" fillId="2" borderId="26" xfId="0" applyFont="1" applyFill="1" applyBorder="1" applyAlignment="1" applyProtection="1">
      <alignment horizontal="center" vertical="center" shrinkToFit="1"/>
      <protection locked="0"/>
    </xf>
    <xf numFmtId="0" fontId="4" fillId="2" borderId="20" xfId="0" applyFont="1" applyFill="1" applyBorder="1" applyAlignment="1" applyProtection="1">
      <alignment horizontal="center" vertical="center" shrinkToFit="1"/>
      <protection locked="0"/>
    </xf>
    <xf numFmtId="0" fontId="4" fillId="2" borderId="1" xfId="0" applyFont="1" applyFill="1" applyBorder="1" applyAlignment="1" applyProtection="1">
      <alignment horizontal="center" vertical="center" shrinkToFit="1"/>
      <protection locked="0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0" borderId="25" xfId="0" applyFont="1" applyBorder="1" applyAlignment="1" applyProtection="1">
      <alignment horizontal="center" vertical="center"/>
    </xf>
    <xf numFmtId="0" fontId="4" fillId="2" borderId="20" xfId="0" applyFont="1" applyFill="1" applyBorder="1" applyAlignment="1" applyProtection="1">
      <alignment horizontal="right" vertical="center" shrinkToFit="1"/>
      <protection locked="0"/>
    </xf>
  </cellXfs>
  <cellStyles count="4">
    <cellStyle name="桁区切り" xfId="1" builtinId="6"/>
    <cellStyle name="通貨" xfId="2" builtinId="7"/>
    <cellStyle name="標準" xfId="0" builtinId="0"/>
    <cellStyle name="標準 2" xfId="3"/>
  </cellStyles>
  <dxfs count="0"/>
  <tableStyles count="0" defaultTableStyle="TableStyleMedium2" defaultPivotStyle="PivotStyleLight16"/>
  <colors>
    <mruColors>
      <color rgb="FFCCFFFF"/>
      <color rgb="FF00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20101</xdr:rowOff>
    </xdr:from>
    <xdr:to>
      <xdr:col>8</xdr:col>
      <xdr:colOff>142875</xdr:colOff>
      <xdr:row>3</xdr:row>
      <xdr:rowOff>1</xdr:rowOff>
    </xdr:to>
    <xdr:sp macro="" textlink="">
      <xdr:nvSpPr>
        <xdr:cNvPr id="3" name="AutoShape 4"/>
        <xdr:cNvSpPr>
          <a:spLocks noChangeArrowheads="1"/>
        </xdr:cNvSpPr>
      </xdr:nvSpPr>
      <xdr:spPr bwMode="auto">
        <a:xfrm>
          <a:off x="95250" y="96301"/>
          <a:ext cx="1476375" cy="4561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45720" tIns="27432" rIns="45720" bIns="27432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創意工夫提案</a:t>
          </a:r>
          <a:endParaRPr lang="en-US" altLang="ja-JP" sz="1400" b="0" i="0" u="none" strike="noStrike" baseline="0">
            <a:solidFill>
              <a:srgbClr val="00000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O69"/>
  <sheetViews>
    <sheetView tabSelected="1" view="pageBreakPreview" topLeftCell="A4" zoomScale="107" zoomScaleNormal="205" zoomScaleSheetLayoutView="100" workbookViewId="0">
      <selection activeCell="I17" sqref="I17"/>
    </sheetView>
  </sheetViews>
  <sheetFormatPr defaultColWidth="2.453125" defaultRowHeight="15" customHeight="1" outlineLevelCol="1" x14ac:dyDescent="0.3"/>
  <cols>
    <col min="1" max="1" width="1.26953125" style="4" customWidth="1"/>
    <col min="2" max="41" width="2.453125" style="4" customWidth="1"/>
    <col min="42" max="43" width="1.26953125" style="4" customWidth="1"/>
    <col min="44" max="44" width="2.453125" style="4" customWidth="1"/>
    <col min="45" max="52" width="7.453125" style="4" customWidth="1"/>
    <col min="53" max="54" width="8.08984375" style="4" hidden="1" customWidth="1" outlineLevel="1"/>
    <col min="55" max="55" width="8.08984375" style="34" hidden="1" customWidth="1" outlineLevel="1"/>
    <col min="56" max="56" width="3.08984375" style="4" hidden="1" customWidth="1" outlineLevel="1"/>
    <col min="57" max="57" width="8.08984375" style="34" hidden="1" customWidth="1" outlineLevel="1"/>
    <col min="58" max="65" width="8.08984375" style="4" hidden="1" customWidth="1" outlineLevel="1"/>
    <col min="66" max="66" width="44" style="4" hidden="1" customWidth="1" outlineLevel="1"/>
    <col min="67" max="67" width="5.453125" style="4" bestFit="1" customWidth="1" collapsed="1"/>
    <col min="68" max="16384" width="2.453125" style="4"/>
  </cols>
  <sheetData>
    <row r="1" spans="1:67" s="1" customFormat="1" ht="6" customHeight="1" x14ac:dyDescent="0.2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Z1" s="3"/>
      <c r="BA1" s="3"/>
      <c r="BB1" s="3"/>
      <c r="BC1" s="32"/>
      <c r="BE1" s="32"/>
      <c r="BN1" s="3"/>
    </row>
    <row r="2" spans="1:67" s="3" customFormat="1" ht="15" customHeight="1" x14ac:dyDescent="0.55000000000000004">
      <c r="A2" s="74"/>
      <c r="B2" s="74"/>
      <c r="C2" s="74"/>
      <c r="D2" s="74"/>
      <c r="E2" s="74"/>
      <c r="F2" s="74"/>
      <c r="G2" s="74"/>
      <c r="H2" s="74"/>
      <c r="I2" s="74"/>
      <c r="J2" s="145" t="s">
        <v>24</v>
      </c>
      <c r="K2" s="145"/>
      <c r="L2" s="145"/>
      <c r="M2" s="145"/>
      <c r="N2" s="145"/>
      <c r="O2" s="145"/>
      <c r="P2" s="145"/>
      <c r="Q2" s="145"/>
      <c r="R2" s="145"/>
      <c r="S2" s="125"/>
      <c r="T2" s="154" t="s">
        <v>23</v>
      </c>
      <c r="U2" s="154"/>
      <c r="V2" s="154"/>
      <c r="W2" s="154"/>
      <c r="X2" s="133" t="s">
        <v>22</v>
      </c>
      <c r="Y2" s="126"/>
      <c r="Z2" s="126"/>
      <c r="AA2" s="126"/>
      <c r="AB2" s="154" t="s">
        <v>37</v>
      </c>
      <c r="AC2" s="154"/>
      <c r="AD2" s="154"/>
      <c r="AE2" s="154"/>
      <c r="AF2" s="154"/>
      <c r="AG2" s="154"/>
      <c r="AH2" s="154"/>
      <c r="AI2" s="154"/>
      <c r="AJ2" s="133" t="s">
        <v>4</v>
      </c>
      <c r="AK2" s="126"/>
      <c r="AL2" s="127"/>
      <c r="AM2" s="133" t="s">
        <v>5</v>
      </c>
      <c r="AN2" s="126"/>
      <c r="AO2" s="134"/>
      <c r="AP2" s="75"/>
      <c r="AQ2" s="75"/>
      <c r="AR2" s="75"/>
      <c r="AS2" s="75"/>
      <c r="BA2" s="3" t="s">
        <v>58</v>
      </c>
      <c r="BC2" s="33"/>
      <c r="BE2" s="42" t="s">
        <v>44</v>
      </c>
      <c r="BF2" s="42" t="s">
        <v>46</v>
      </c>
      <c r="BG2" s="42" t="s">
        <v>45</v>
      </c>
      <c r="BH2" s="42" t="s">
        <v>49</v>
      </c>
    </row>
    <row r="3" spans="1:67" ht="22.5" customHeight="1" x14ac:dyDescent="0.55000000000000004">
      <c r="A3" s="76"/>
      <c r="B3" s="77"/>
      <c r="C3" s="77"/>
      <c r="D3" s="77"/>
      <c r="E3" s="77"/>
      <c r="F3" s="77"/>
      <c r="G3" s="77"/>
      <c r="H3" s="77"/>
      <c r="I3" s="77"/>
      <c r="J3" s="149" t="s">
        <v>65</v>
      </c>
      <c r="K3" s="149"/>
      <c r="L3" s="149"/>
      <c r="M3" s="149"/>
      <c r="N3" s="149"/>
      <c r="O3" s="149"/>
      <c r="P3" s="149"/>
      <c r="Q3" s="149"/>
      <c r="R3" s="149"/>
      <c r="S3" s="150"/>
      <c r="T3" s="151" t="s">
        <v>10</v>
      </c>
      <c r="U3" s="152"/>
      <c r="V3" s="152"/>
      <c r="W3" s="153"/>
      <c r="X3" s="146" t="s">
        <v>127</v>
      </c>
      <c r="Y3" s="147"/>
      <c r="Z3" s="147"/>
      <c r="AA3" s="148"/>
      <c r="AB3" s="141" t="s">
        <v>128</v>
      </c>
      <c r="AC3" s="141"/>
      <c r="AD3" s="141"/>
      <c r="AE3" s="141"/>
      <c r="AF3" s="141"/>
      <c r="AG3" s="141"/>
      <c r="AH3" s="141"/>
      <c r="AI3" s="141"/>
      <c r="AJ3" s="135"/>
      <c r="AK3" s="136"/>
      <c r="AL3" s="137"/>
      <c r="AM3" s="135"/>
      <c r="AN3" s="136"/>
      <c r="AO3" s="140"/>
      <c r="AP3" s="75"/>
      <c r="AQ3" s="75"/>
      <c r="AR3" s="75"/>
      <c r="AS3" s="75"/>
      <c r="AT3" s="5"/>
      <c r="AZ3" s="3"/>
      <c r="BA3" s="3" t="s">
        <v>51</v>
      </c>
      <c r="BB3" s="3"/>
      <c r="BE3" s="60" t="str">
        <f ca="1">IF(AND($B$6&gt;=BC9,$B$6&lt;=BE22),INDIRECT("BA"&amp;MATCH("1",BF9:BF22,0)+8),"帳票が古いです")</f>
        <v>8月</v>
      </c>
      <c r="BF3" s="60" t="str">
        <f ca="1">IF(AND($B$6&gt;=BC9,$B$6&lt;=BE22),INDIRECT("BB"&amp;MATCH("1",BF9:BF22,0)+8),"最新版を確認")</f>
        <v>CS</v>
      </c>
      <c r="BG3" s="41" t="str">
        <f>IF(SUM(BH9:BH22)=1,"対象","-")</f>
        <v>-</v>
      </c>
      <c r="BH3" s="41" t="e">
        <f ca="1">IF(BE6+BF6&gt;=1500,"○","-")</f>
        <v>#NAME?</v>
      </c>
    </row>
    <row r="4" spans="1:67" ht="6" customHeight="1" thickBot="1" x14ac:dyDescent="0.3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</row>
    <row r="5" spans="1:67" s="3" customFormat="1" ht="15" customHeight="1" thickBot="1" x14ac:dyDescent="0.35">
      <c r="A5" s="74"/>
      <c r="B5" s="125" t="s">
        <v>25</v>
      </c>
      <c r="C5" s="126"/>
      <c r="D5" s="126"/>
      <c r="E5" s="126"/>
      <c r="F5" s="126"/>
      <c r="G5" s="127"/>
      <c r="H5" s="133" t="s">
        <v>26</v>
      </c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7"/>
      <c r="AF5" s="133" t="s">
        <v>55</v>
      </c>
      <c r="AG5" s="126"/>
      <c r="AH5" s="126"/>
      <c r="AI5" s="126"/>
      <c r="AJ5" s="126"/>
      <c r="AK5" s="126"/>
      <c r="AL5" s="127"/>
      <c r="AM5" s="126" t="s">
        <v>54</v>
      </c>
      <c r="AN5" s="126"/>
      <c r="AO5" s="134"/>
      <c r="AP5" s="74"/>
      <c r="AQ5" s="74"/>
      <c r="AR5" s="74"/>
      <c r="AS5" s="74"/>
      <c r="BA5" s="131" t="s">
        <v>126</v>
      </c>
      <c r="BB5" s="132"/>
      <c r="BC5" s="33"/>
      <c r="BE5" s="40" t="s">
        <v>29</v>
      </c>
      <c r="BF5" s="23" t="s">
        <v>34</v>
      </c>
      <c r="BG5" s="42" t="s">
        <v>38</v>
      </c>
      <c r="BH5" s="42" t="s">
        <v>0</v>
      </c>
      <c r="BN5" s="4"/>
    </row>
    <row r="6" spans="1:67" ht="22.5" customHeight="1" thickBot="1" x14ac:dyDescent="0.35">
      <c r="A6" s="7"/>
      <c r="B6" s="128">
        <v>44761</v>
      </c>
      <c r="C6" s="129"/>
      <c r="D6" s="129"/>
      <c r="E6" s="129"/>
      <c r="F6" s="129"/>
      <c r="G6" s="130"/>
      <c r="H6" s="151" t="s">
        <v>131</v>
      </c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52"/>
      <c r="Y6" s="152"/>
      <c r="Z6" s="152"/>
      <c r="AA6" s="152"/>
      <c r="AB6" s="152"/>
      <c r="AC6" s="152"/>
      <c r="AD6" s="152"/>
      <c r="AE6" s="153"/>
      <c r="AF6" s="155">
        <v>2022</v>
      </c>
      <c r="AG6" s="144"/>
      <c r="AH6" s="78" t="s">
        <v>27</v>
      </c>
      <c r="AI6" s="144">
        <v>9</v>
      </c>
      <c r="AJ6" s="144"/>
      <c r="AK6" s="138" t="s">
        <v>28</v>
      </c>
      <c r="AL6" s="139"/>
      <c r="AM6" s="142"/>
      <c r="AN6" s="142"/>
      <c r="AO6" s="143"/>
      <c r="AP6" s="7"/>
      <c r="AQ6" s="7"/>
      <c r="AR6" s="7"/>
      <c r="AS6" s="7"/>
      <c r="AV6" s="6"/>
      <c r="BA6" s="51">
        <v>2022</v>
      </c>
      <c r="BB6" s="52" t="s">
        <v>41</v>
      </c>
      <c r="BC6" s="59"/>
      <c r="BE6" s="43">
        <f>IF(AD22&lt;10,AD22*100,(AD22-5)*200)</f>
        <v>0</v>
      </c>
      <c r="BF6" s="43" t="e">
        <f ca="1" xml:space="preserve"> KoukaY(AL9)</f>
        <v>#NAME?</v>
      </c>
      <c r="BG6" s="43">
        <f>IF(BG3="対象",(BF6+BE6),0)</f>
        <v>0</v>
      </c>
      <c r="BH6" s="43" t="e">
        <f ca="1">BE6+BF6+BG6</f>
        <v>#NAME?</v>
      </c>
      <c r="BN6" s="45" t="s">
        <v>51</v>
      </c>
    </row>
    <row r="7" spans="1:67" ht="6" customHeight="1" x14ac:dyDescent="0.3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BC7" s="33"/>
    </row>
    <row r="8" spans="1:67" s="3" customFormat="1" ht="15" customHeight="1" thickBot="1" x14ac:dyDescent="0.35">
      <c r="A8" s="86"/>
      <c r="B8" s="122" t="s">
        <v>87</v>
      </c>
      <c r="C8" s="123"/>
      <c r="D8" s="123"/>
      <c r="E8" s="123"/>
      <c r="F8" s="123"/>
      <c r="G8" s="123"/>
      <c r="H8" s="123"/>
      <c r="I8" s="105" t="s">
        <v>88</v>
      </c>
      <c r="J8" s="105"/>
      <c r="K8" s="105"/>
      <c r="L8" s="105"/>
      <c r="M8" s="106"/>
      <c r="P8" s="122" t="s">
        <v>89</v>
      </c>
      <c r="Q8" s="123"/>
      <c r="R8" s="123"/>
      <c r="S8" s="123"/>
      <c r="T8" s="123"/>
      <c r="U8" s="123"/>
      <c r="V8" s="123"/>
      <c r="W8" s="105" t="s">
        <v>88</v>
      </c>
      <c r="X8" s="105"/>
      <c r="Y8" s="105"/>
      <c r="Z8" s="105"/>
      <c r="AA8" s="106"/>
      <c r="AD8" s="122" t="s">
        <v>90</v>
      </c>
      <c r="AE8" s="123"/>
      <c r="AF8" s="123"/>
      <c r="AG8" s="123"/>
      <c r="AH8" s="123"/>
      <c r="AI8" s="123"/>
      <c r="AJ8" s="123"/>
      <c r="AK8" s="105" t="s">
        <v>88</v>
      </c>
      <c r="AL8" s="105"/>
      <c r="AM8" s="105"/>
      <c r="AN8" s="105"/>
      <c r="AO8" s="106"/>
      <c r="AP8" s="7"/>
      <c r="AQ8" s="74"/>
      <c r="AR8" s="74"/>
      <c r="AS8" s="79"/>
      <c r="BA8" s="29" t="s">
        <v>47</v>
      </c>
      <c r="BB8" s="30" t="s">
        <v>46</v>
      </c>
      <c r="BC8" s="35" t="s">
        <v>42</v>
      </c>
      <c r="BD8" s="31"/>
      <c r="BE8" s="37" t="s">
        <v>32</v>
      </c>
      <c r="BF8" s="30" t="s">
        <v>44</v>
      </c>
      <c r="BG8" s="30" t="s">
        <v>56</v>
      </c>
      <c r="BH8" s="30" t="s">
        <v>57</v>
      </c>
      <c r="BJ8" s="48" t="s">
        <v>36</v>
      </c>
      <c r="BK8" s="49" t="s">
        <v>48</v>
      </c>
      <c r="BL8" s="49" t="s">
        <v>59</v>
      </c>
      <c r="BM8" s="49" t="s">
        <v>60</v>
      </c>
      <c r="BN8" s="50" t="s">
        <v>50</v>
      </c>
      <c r="BO8" s="4"/>
    </row>
    <row r="9" spans="1:67" ht="15" customHeight="1" thickTop="1" x14ac:dyDescent="0.3">
      <c r="A9" s="86"/>
      <c r="B9" s="107" t="s">
        <v>91</v>
      </c>
      <c r="C9" s="108"/>
      <c r="D9" s="87"/>
      <c r="E9" s="88"/>
      <c r="F9" s="88"/>
      <c r="G9" s="88"/>
      <c r="H9" s="88"/>
      <c r="I9" s="88"/>
      <c r="J9" s="109">
        <v>0</v>
      </c>
      <c r="K9" s="109"/>
      <c r="L9" s="109"/>
      <c r="M9" s="110"/>
      <c r="N9" s="111" t="s">
        <v>92</v>
      </c>
      <c r="O9" s="112"/>
      <c r="P9" s="107" t="s">
        <v>93</v>
      </c>
      <c r="Q9" s="108"/>
      <c r="R9" s="89"/>
      <c r="S9" s="90"/>
      <c r="T9" s="90"/>
      <c r="U9" s="90"/>
      <c r="V9" s="90"/>
      <c r="W9" s="90"/>
      <c r="X9" s="113"/>
      <c r="Y9" s="113"/>
      <c r="Z9" s="113"/>
      <c r="AA9" s="114"/>
      <c r="AB9" s="111" t="s">
        <v>92</v>
      </c>
      <c r="AC9" s="112"/>
      <c r="AD9" s="116" t="s">
        <v>94</v>
      </c>
      <c r="AE9" s="117"/>
      <c r="AF9" s="117"/>
      <c r="AG9" s="117"/>
      <c r="AH9" s="117"/>
      <c r="AI9" s="117"/>
      <c r="AJ9" s="117"/>
      <c r="AK9" s="117"/>
      <c r="AL9" s="118">
        <f>J11-X11</f>
        <v>3500</v>
      </c>
      <c r="AM9" s="118"/>
      <c r="AN9" s="118"/>
      <c r="AO9" s="119"/>
      <c r="AP9" s="7"/>
      <c r="AQ9" s="7"/>
      <c r="AR9" s="7"/>
      <c r="AS9" s="80"/>
      <c r="BA9" s="38" t="s">
        <v>30</v>
      </c>
      <c r="BB9" s="39" t="s">
        <v>43</v>
      </c>
      <c r="BC9" s="54">
        <f>DATE(BA6,3,16)</f>
        <v>44636</v>
      </c>
      <c r="BD9" s="26" t="s">
        <v>33</v>
      </c>
      <c r="BE9" s="57">
        <f>DATE(YEAR(BC9),MONTH(BC9)+1,15)</f>
        <v>44666</v>
      </c>
      <c r="BF9" s="27" t="str">
        <f>IF(AND($B$6&gt;=BC9,$B$6&lt;=BE9),"1","0")</f>
        <v>0</v>
      </c>
      <c r="BG9" s="28" t="s">
        <v>43</v>
      </c>
      <c r="BH9" s="28" t="s">
        <v>53</v>
      </c>
      <c r="BJ9" s="46">
        <v>0</v>
      </c>
      <c r="BK9" s="47" t="s">
        <v>10</v>
      </c>
      <c r="BL9" s="47">
        <v>2020</v>
      </c>
      <c r="BM9" s="47">
        <v>1</v>
      </c>
      <c r="BN9" s="20" t="s">
        <v>104</v>
      </c>
    </row>
    <row r="10" spans="1:67" ht="15" customHeight="1" x14ac:dyDescent="0.3">
      <c r="A10" s="86"/>
      <c r="B10" s="107" t="s">
        <v>95</v>
      </c>
      <c r="C10" s="108"/>
      <c r="D10" s="120">
        <v>2</v>
      </c>
      <c r="E10" s="120"/>
      <c r="F10" s="121" t="s">
        <v>96</v>
      </c>
      <c r="G10" s="121"/>
      <c r="H10" s="121"/>
      <c r="I10" s="121"/>
      <c r="J10" s="98">
        <f>D10*3500</f>
        <v>7000</v>
      </c>
      <c r="K10" s="98"/>
      <c r="L10" s="98"/>
      <c r="M10" s="99"/>
      <c r="N10" s="111"/>
      <c r="O10" s="112"/>
      <c r="P10" s="107" t="s">
        <v>97</v>
      </c>
      <c r="Q10" s="108"/>
      <c r="R10" s="120">
        <v>1</v>
      </c>
      <c r="S10" s="120"/>
      <c r="T10" s="121" t="s">
        <v>96</v>
      </c>
      <c r="U10" s="121"/>
      <c r="V10" s="121"/>
      <c r="W10" s="121"/>
      <c r="X10" s="98">
        <f>R10*3500</f>
        <v>3500</v>
      </c>
      <c r="Y10" s="98"/>
      <c r="Z10" s="98"/>
      <c r="AA10" s="99"/>
      <c r="AB10" s="111"/>
      <c r="AC10" s="115"/>
      <c r="AD10" s="95" t="s">
        <v>102</v>
      </c>
      <c r="AE10" s="96"/>
      <c r="AF10" s="96"/>
      <c r="AG10" s="96"/>
      <c r="AH10" s="96"/>
      <c r="AI10" s="96"/>
      <c r="AJ10" s="96"/>
      <c r="AK10" s="96"/>
      <c r="AL10" s="93" t="e">
        <f ca="1" xml:space="preserve"> KoukaY(AL9)</f>
        <v>#NAME?</v>
      </c>
      <c r="AM10" s="93"/>
      <c r="AN10" s="93"/>
      <c r="AO10" s="94"/>
      <c r="AP10" s="82"/>
      <c r="AQ10" s="7"/>
      <c r="AR10" s="7"/>
      <c r="AS10" s="81"/>
      <c r="BA10" s="23" t="s">
        <v>13</v>
      </c>
      <c r="BB10" s="25" t="s">
        <v>43</v>
      </c>
      <c r="BC10" s="55">
        <f>BE9+1</f>
        <v>44667</v>
      </c>
      <c r="BD10" s="22" t="s">
        <v>33</v>
      </c>
      <c r="BE10" s="58">
        <f>DATE(YEAR(BC10),MONTH(BC10)+1,15)</f>
        <v>44696</v>
      </c>
      <c r="BF10" s="21" t="str">
        <f>IF(AND($B$6&gt;=BC10,$B$6&lt;=BE10),"1","0")</f>
        <v>0</v>
      </c>
      <c r="BG10" s="24" t="s">
        <v>43</v>
      </c>
      <c r="BH10" s="24" t="s">
        <v>53</v>
      </c>
      <c r="BJ10" s="20">
        <v>1</v>
      </c>
      <c r="BK10" s="44" t="s">
        <v>35</v>
      </c>
      <c r="BL10" s="44">
        <v>2021</v>
      </c>
      <c r="BM10" s="44">
        <v>2</v>
      </c>
      <c r="BN10" s="20" t="s">
        <v>105</v>
      </c>
    </row>
    <row r="11" spans="1:67" ht="15" customHeight="1" x14ac:dyDescent="0.3">
      <c r="A11" s="86"/>
      <c r="B11" s="100" t="s">
        <v>98</v>
      </c>
      <c r="C11" s="101"/>
      <c r="D11" s="91"/>
      <c r="E11" s="91"/>
      <c r="F11" s="102" t="s">
        <v>99</v>
      </c>
      <c r="G11" s="102"/>
      <c r="H11" s="102"/>
      <c r="I11" s="102"/>
      <c r="J11" s="103">
        <f>J9+J10</f>
        <v>7000</v>
      </c>
      <c r="K11" s="103"/>
      <c r="L11" s="103"/>
      <c r="M11" s="104"/>
      <c r="P11" s="100" t="s">
        <v>100</v>
      </c>
      <c r="Q11" s="101"/>
      <c r="R11" s="91"/>
      <c r="S11" s="91"/>
      <c r="T11" s="102" t="s">
        <v>101</v>
      </c>
      <c r="U11" s="102"/>
      <c r="V11" s="102"/>
      <c r="W11" s="102"/>
      <c r="X11" s="103">
        <f>SUM(X9:AA10)</f>
        <v>3500</v>
      </c>
      <c r="Y11" s="103"/>
      <c r="Z11" s="103"/>
      <c r="AA11" s="104"/>
      <c r="AD11" s="97" t="s">
        <v>103</v>
      </c>
      <c r="AE11" s="97"/>
      <c r="AF11" s="97"/>
      <c r="AG11" s="97"/>
      <c r="AH11" s="97"/>
      <c r="AI11" s="97"/>
      <c r="AJ11" s="97"/>
      <c r="AK11" s="97"/>
      <c r="AL11" s="97"/>
      <c r="AM11" s="97"/>
      <c r="AN11" s="97"/>
      <c r="AO11" s="97"/>
      <c r="AP11" s="82"/>
      <c r="AQ11" s="7"/>
      <c r="AR11" s="7"/>
      <c r="AS11" s="81"/>
      <c r="BA11" s="23" t="s">
        <v>14</v>
      </c>
      <c r="BB11" s="25" t="s">
        <v>8</v>
      </c>
      <c r="BC11" s="55">
        <f>BE10+1</f>
        <v>44697</v>
      </c>
      <c r="BD11" s="22" t="s">
        <v>33</v>
      </c>
      <c r="BE11" s="58">
        <f>DATE(YEAR(BC11),MONTH(BC11)+1,15)</f>
        <v>44727</v>
      </c>
      <c r="BF11" s="21" t="str">
        <f>IF(AND($B$6&gt;=BC11,$B$6&lt;=BE11),"1","0")</f>
        <v>0</v>
      </c>
      <c r="BG11" s="24">
        <f>IF(AA19&lt;&gt;0,1,0)</f>
        <v>0</v>
      </c>
      <c r="BH11" s="24">
        <f>BF11*BG11</f>
        <v>0</v>
      </c>
      <c r="BJ11" s="19">
        <v>2</v>
      </c>
      <c r="BK11" s="19" t="s">
        <v>12</v>
      </c>
      <c r="BL11" s="44">
        <v>2022</v>
      </c>
      <c r="BM11" s="47">
        <v>3</v>
      </c>
      <c r="BN11" s="20" t="s">
        <v>106</v>
      </c>
    </row>
    <row r="12" spans="1:67" ht="6" customHeight="1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BC12" s="56"/>
      <c r="BE12" s="56"/>
      <c r="BJ12" s="20">
        <v>3</v>
      </c>
      <c r="BK12" s="20" t="s">
        <v>11</v>
      </c>
      <c r="BL12" s="44">
        <v>2023</v>
      </c>
      <c r="BM12" s="44">
        <v>4</v>
      </c>
      <c r="BN12" s="53" t="s">
        <v>61</v>
      </c>
    </row>
    <row r="13" spans="1:67" ht="15" customHeight="1" x14ac:dyDescent="0.35">
      <c r="A13" s="11"/>
      <c r="B13" s="64" t="s">
        <v>85</v>
      </c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5"/>
      <c r="AP13" s="7"/>
      <c r="AQ13" s="7"/>
      <c r="AR13" s="7"/>
      <c r="AS13" s="82"/>
      <c r="BA13" s="23" t="s">
        <v>15</v>
      </c>
      <c r="BB13" s="25" t="s">
        <v>2</v>
      </c>
      <c r="BC13" s="55">
        <f>BE11+1</f>
        <v>44728</v>
      </c>
      <c r="BD13" s="22" t="s">
        <v>33</v>
      </c>
      <c r="BE13" s="58">
        <f t="shared" ref="BE13:BE18" si="0">DATE(YEAR(BC13),MONTH(BC13)+1,15)</f>
        <v>44757</v>
      </c>
      <c r="BF13" s="21" t="str">
        <f t="shared" ref="BF13:BF18" si="1">IF(AND($B$6&gt;=BC13,$B$6&lt;=BE13),"1","0")</f>
        <v>0</v>
      </c>
      <c r="BG13" s="24">
        <f>IF(S19&lt;&gt;0,1,0)</f>
        <v>0</v>
      </c>
      <c r="BH13" s="24">
        <f t="shared" ref="BH13:BH18" si="2">BF13*BG13</f>
        <v>0</v>
      </c>
      <c r="BJ13" s="20">
        <v>4</v>
      </c>
      <c r="BL13" s="44">
        <v>2024</v>
      </c>
      <c r="BM13" s="47">
        <v>5</v>
      </c>
      <c r="BN13" s="46" t="s">
        <v>107</v>
      </c>
    </row>
    <row r="14" spans="1:67" ht="15" customHeight="1" x14ac:dyDescent="0.35">
      <c r="A14" s="11"/>
      <c r="B14" s="66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8"/>
      <c r="AP14" s="7"/>
      <c r="AQ14" s="7"/>
      <c r="AR14" s="7"/>
      <c r="AS14" s="82"/>
      <c r="BA14" s="23" t="s">
        <v>39</v>
      </c>
      <c r="BB14" s="25" t="s">
        <v>6</v>
      </c>
      <c r="BC14" s="55">
        <f>BE13+1</f>
        <v>44758</v>
      </c>
      <c r="BD14" s="22" t="s">
        <v>33</v>
      </c>
      <c r="BE14" s="58">
        <f t="shared" si="0"/>
        <v>44788</v>
      </c>
      <c r="BF14" s="21" t="str">
        <f t="shared" si="1"/>
        <v>1</v>
      </c>
      <c r="BG14" s="24">
        <f>IF(Y19&lt;&gt;0,1,0)</f>
        <v>0</v>
      </c>
      <c r="BH14" s="24">
        <f t="shared" si="2"/>
        <v>0</v>
      </c>
      <c r="BJ14" s="19">
        <v>5</v>
      </c>
      <c r="BK14" s="3"/>
      <c r="BL14" s="3"/>
      <c r="BM14" s="44">
        <v>6</v>
      </c>
      <c r="BN14" s="20" t="s">
        <v>125</v>
      </c>
    </row>
    <row r="15" spans="1:67" ht="15" customHeight="1" x14ac:dyDescent="0.35">
      <c r="A15" s="11"/>
      <c r="B15" s="66"/>
      <c r="C15" s="67"/>
      <c r="D15" s="67" t="s">
        <v>132</v>
      </c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8"/>
      <c r="AP15" s="7"/>
      <c r="AQ15" s="7"/>
      <c r="AR15" s="7"/>
      <c r="AS15" s="82"/>
      <c r="BA15" s="23" t="s">
        <v>16</v>
      </c>
      <c r="BB15" s="25" t="s">
        <v>31</v>
      </c>
      <c r="BC15" s="55">
        <f>BE14+1</f>
        <v>44789</v>
      </c>
      <c r="BD15" s="22" t="s">
        <v>33</v>
      </c>
      <c r="BE15" s="58">
        <f t="shared" si="0"/>
        <v>44819</v>
      </c>
      <c r="BF15" s="21" t="str">
        <f t="shared" si="1"/>
        <v>0</v>
      </c>
      <c r="BG15" s="24">
        <f>IF(AL19&lt;&gt;0,1,0)</f>
        <v>0</v>
      </c>
      <c r="BH15" s="24">
        <f t="shared" si="2"/>
        <v>0</v>
      </c>
      <c r="BM15" s="47">
        <v>7</v>
      </c>
      <c r="BN15" s="20" t="s">
        <v>109</v>
      </c>
    </row>
    <row r="16" spans="1:67" ht="15" customHeight="1" x14ac:dyDescent="0.35">
      <c r="A16" s="11"/>
      <c r="B16" s="66"/>
      <c r="C16" s="67"/>
      <c r="D16" s="67"/>
      <c r="E16" s="67"/>
      <c r="F16" s="67"/>
      <c r="G16" s="67"/>
      <c r="H16" s="67" t="s">
        <v>141</v>
      </c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8"/>
      <c r="AP16" s="7"/>
      <c r="AQ16" s="7"/>
      <c r="AR16" s="7"/>
      <c r="AS16" s="82"/>
      <c r="BA16" s="23" t="s">
        <v>17</v>
      </c>
      <c r="BB16" s="25" t="s">
        <v>3</v>
      </c>
      <c r="BC16" s="55">
        <f>BE15+1</f>
        <v>44820</v>
      </c>
      <c r="BD16" s="22" t="s">
        <v>33</v>
      </c>
      <c r="BE16" s="58">
        <f t="shared" si="0"/>
        <v>44849</v>
      </c>
      <c r="BF16" s="21" t="str">
        <f t="shared" si="1"/>
        <v>0</v>
      </c>
      <c r="BG16" s="24">
        <f>IF(W19&lt;&gt;0,1,0)</f>
        <v>0</v>
      </c>
      <c r="BH16" s="24">
        <f t="shared" si="2"/>
        <v>0</v>
      </c>
      <c r="BM16" s="44">
        <v>8</v>
      </c>
      <c r="BN16" s="53" t="s">
        <v>110</v>
      </c>
    </row>
    <row r="17" spans="1:66" ht="15" customHeight="1" x14ac:dyDescent="0.35">
      <c r="A17" s="11"/>
      <c r="B17" s="66"/>
      <c r="C17" s="67"/>
      <c r="D17" s="67"/>
      <c r="E17" s="67"/>
      <c r="F17" s="67"/>
      <c r="G17" s="67"/>
      <c r="H17" s="67"/>
      <c r="I17" s="67" t="s">
        <v>142</v>
      </c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8"/>
      <c r="AP17" s="7"/>
      <c r="AQ17" s="7"/>
      <c r="AR17" s="7"/>
      <c r="AS17" s="7"/>
      <c r="BA17" s="23" t="s">
        <v>18</v>
      </c>
      <c r="BB17" s="25" t="s">
        <v>9</v>
      </c>
      <c r="BC17" s="55">
        <f>BE16+1</f>
        <v>44850</v>
      </c>
      <c r="BD17" s="22" t="s">
        <v>33</v>
      </c>
      <c r="BE17" s="58">
        <f t="shared" si="0"/>
        <v>44880</v>
      </c>
      <c r="BF17" s="21" t="str">
        <f t="shared" si="1"/>
        <v>0</v>
      </c>
      <c r="BG17" s="24">
        <f>IF(AE19&lt;&gt;0,1,0)</f>
        <v>0</v>
      </c>
      <c r="BH17" s="24">
        <f t="shared" si="2"/>
        <v>0</v>
      </c>
      <c r="BM17" s="47">
        <v>9</v>
      </c>
      <c r="BN17" s="20" t="s">
        <v>108</v>
      </c>
    </row>
    <row r="18" spans="1:66" ht="15" customHeight="1" x14ac:dyDescent="0.35">
      <c r="A18" s="11"/>
      <c r="B18" s="66"/>
      <c r="C18" s="67"/>
      <c r="D18" s="67" t="s">
        <v>134</v>
      </c>
      <c r="E18" s="92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67"/>
      <c r="AJ18" s="67"/>
      <c r="AK18" s="67"/>
      <c r="AL18" s="67"/>
      <c r="AM18" s="67"/>
      <c r="AN18" s="67"/>
      <c r="AO18" s="68"/>
      <c r="AP18" s="7"/>
      <c r="AQ18" s="7"/>
      <c r="AR18" s="7"/>
      <c r="AS18" s="81"/>
      <c r="BA18" s="23" t="s">
        <v>19</v>
      </c>
      <c r="BB18" s="25" t="s">
        <v>7</v>
      </c>
      <c r="BC18" s="55">
        <f>BE17+1</f>
        <v>44881</v>
      </c>
      <c r="BD18" s="22" t="s">
        <v>33</v>
      </c>
      <c r="BE18" s="58">
        <f t="shared" si="0"/>
        <v>44910</v>
      </c>
      <c r="BF18" s="21" t="str">
        <f t="shared" si="1"/>
        <v>0</v>
      </c>
      <c r="BG18" s="24">
        <f>IF(AC19&lt;&gt;0,1,0)</f>
        <v>0</v>
      </c>
      <c r="BH18" s="24">
        <f t="shared" si="2"/>
        <v>0</v>
      </c>
      <c r="BM18" s="44">
        <v>10</v>
      </c>
      <c r="BN18" s="20" t="s">
        <v>61</v>
      </c>
    </row>
    <row r="19" spans="1:66" s="59" customFormat="1" ht="15" customHeight="1" x14ac:dyDescent="0.35">
      <c r="A19" s="11"/>
      <c r="B19" s="66"/>
      <c r="C19" s="67"/>
      <c r="D19" s="67"/>
      <c r="E19" s="67"/>
      <c r="F19" s="67" t="s">
        <v>133</v>
      </c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  <c r="AK19" s="67"/>
      <c r="AL19" s="67"/>
      <c r="AM19" s="67"/>
      <c r="AN19" s="67"/>
      <c r="AO19" s="68"/>
      <c r="AP19" s="7"/>
      <c r="AQ19" s="83"/>
      <c r="AR19" s="83"/>
      <c r="AS19" s="84"/>
      <c r="BC19" s="61"/>
      <c r="BE19" s="61"/>
      <c r="BM19" s="47">
        <v>11</v>
      </c>
      <c r="BN19" s="20" t="s">
        <v>111</v>
      </c>
    </row>
    <row r="20" spans="1:66" ht="15" customHeight="1" x14ac:dyDescent="0.35">
      <c r="A20" s="11"/>
      <c r="B20" s="66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67"/>
      <c r="AG20" s="67"/>
      <c r="AH20" s="67"/>
      <c r="AI20" s="67"/>
      <c r="AJ20" s="67"/>
      <c r="AK20" s="67"/>
      <c r="AL20" s="67"/>
      <c r="AM20" s="67"/>
      <c r="AN20" s="67"/>
      <c r="AO20" s="68"/>
      <c r="AP20" s="7"/>
      <c r="AQ20" s="7"/>
      <c r="AR20" s="7"/>
      <c r="AS20" s="81"/>
      <c r="BA20" s="23" t="s">
        <v>20</v>
      </c>
      <c r="BB20" s="25" t="s">
        <v>1</v>
      </c>
      <c r="BC20" s="55">
        <f>BE18+1</f>
        <v>44911</v>
      </c>
      <c r="BD20" s="22" t="s">
        <v>33</v>
      </c>
      <c r="BE20" s="58">
        <f>DATE(YEAR(BC20),MONTH(BC20)+1,15)</f>
        <v>44941</v>
      </c>
      <c r="BF20" s="21" t="str">
        <f>IF(AND($B$6&gt;=BC20,$B$6&lt;=BE20),"1","0")</f>
        <v>0</v>
      </c>
      <c r="BG20" s="24">
        <f>IF(U19&lt;&gt;0,1,0)</f>
        <v>0</v>
      </c>
      <c r="BH20" s="24">
        <f>BF20*BG20</f>
        <v>0</v>
      </c>
      <c r="BM20" s="44">
        <v>12</v>
      </c>
      <c r="BN20" s="53" t="s">
        <v>112</v>
      </c>
    </row>
    <row r="21" spans="1:66" ht="15" customHeight="1" x14ac:dyDescent="0.35">
      <c r="A21" s="11"/>
      <c r="B21" s="66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  <c r="AM21" s="67"/>
      <c r="AN21" s="67"/>
      <c r="AO21" s="68"/>
      <c r="AP21" s="7"/>
      <c r="AQ21" s="8"/>
      <c r="AR21" s="8"/>
      <c r="AS21" s="81"/>
      <c r="BA21" s="23" t="s">
        <v>40</v>
      </c>
      <c r="BB21" s="25" t="s">
        <v>43</v>
      </c>
      <c r="BC21" s="55">
        <f>BE20+1</f>
        <v>44942</v>
      </c>
      <c r="BD21" s="22" t="s">
        <v>33</v>
      </c>
      <c r="BE21" s="58">
        <f>DATE(YEAR(BC21),MONTH(BC21)+1,15)</f>
        <v>44972</v>
      </c>
      <c r="BF21" s="21" t="str">
        <f>IF(AND($B$6&gt;=BC21,$B$6&lt;=BE21),"1","0")</f>
        <v>0</v>
      </c>
      <c r="BG21" s="24" t="s">
        <v>43</v>
      </c>
      <c r="BH21" s="24" t="s">
        <v>53</v>
      </c>
      <c r="BN21" s="20" t="s">
        <v>61</v>
      </c>
    </row>
    <row r="22" spans="1:66" ht="15" customHeight="1" x14ac:dyDescent="0.35">
      <c r="A22" s="11"/>
      <c r="B22" s="66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  <c r="AF22" s="67"/>
      <c r="AG22" s="67"/>
      <c r="AH22" s="67"/>
      <c r="AI22" s="67"/>
      <c r="AJ22" s="67"/>
      <c r="AK22" s="67"/>
      <c r="AL22" s="67"/>
      <c r="AM22" s="67"/>
      <c r="AN22" s="67"/>
      <c r="AO22" s="68"/>
      <c r="AP22" s="7"/>
      <c r="AQ22" s="8"/>
      <c r="AR22" s="8"/>
      <c r="AS22" s="81"/>
      <c r="BA22" s="23" t="s">
        <v>21</v>
      </c>
      <c r="BB22" s="25" t="s">
        <v>43</v>
      </c>
      <c r="BC22" s="55">
        <f>BE21+1</f>
        <v>44973</v>
      </c>
      <c r="BD22" s="22" t="s">
        <v>33</v>
      </c>
      <c r="BE22" s="58">
        <f>DATE(YEAR(BC22),MONTH(BC22)+1,15)</f>
        <v>45000</v>
      </c>
      <c r="BF22" s="21" t="str">
        <f>IF(AND($B$6&gt;=BC22,$B$6&lt;=BE22),"1","0")</f>
        <v>0</v>
      </c>
      <c r="BG22" s="24" t="s">
        <v>43</v>
      </c>
      <c r="BH22" s="24" t="s">
        <v>53</v>
      </c>
      <c r="BN22" s="20" t="s">
        <v>113</v>
      </c>
    </row>
    <row r="23" spans="1:66" ht="15" customHeight="1" x14ac:dyDescent="0.35">
      <c r="A23" s="11"/>
      <c r="B23" s="66"/>
      <c r="C23" s="67"/>
      <c r="D23" s="67"/>
      <c r="E23" s="67"/>
      <c r="F23" s="67"/>
      <c r="G23" s="67" t="s">
        <v>137</v>
      </c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  <c r="AF23" s="67"/>
      <c r="AG23" s="67"/>
      <c r="AH23" s="67"/>
      <c r="AI23" s="67"/>
      <c r="AJ23" s="67"/>
      <c r="AK23" s="67"/>
      <c r="AL23" s="67"/>
      <c r="AM23" s="67"/>
      <c r="AN23" s="67"/>
      <c r="AO23" s="68"/>
      <c r="AP23" s="7"/>
      <c r="AQ23" s="8"/>
      <c r="AR23" s="8"/>
      <c r="AS23" s="81"/>
      <c r="BN23" s="53" t="s">
        <v>114</v>
      </c>
    </row>
    <row r="24" spans="1:66" ht="15" customHeight="1" x14ac:dyDescent="0.35">
      <c r="A24" s="11"/>
      <c r="B24" s="66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7"/>
      <c r="AO24" s="68"/>
      <c r="AP24" s="7"/>
      <c r="AQ24" s="8"/>
      <c r="AR24" s="8"/>
      <c r="AS24" s="81"/>
      <c r="BN24" s="20" t="s">
        <v>115</v>
      </c>
    </row>
    <row r="25" spans="1:66" s="9" customFormat="1" ht="15" customHeight="1" x14ac:dyDescent="0.35">
      <c r="A25" s="11"/>
      <c r="B25" s="66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8"/>
      <c r="AP25" s="7"/>
      <c r="AQ25" s="85"/>
      <c r="AR25" s="85"/>
      <c r="AS25" s="85"/>
      <c r="BC25" s="36"/>
      <c r="BN25" s="20" t="s">
        <v>116</v>
      </c>
    </row>
    <row r="26" spans="1:66" s="9" customFormat="1" ht="15" customHeight="1" x14ac:dyDescent="0.35">
      <c r="A26" s="11"/>
      <c r="B26" s="62" t="s">
        <v>86</v>
      </c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5"/>
      <c r="AP26" s="7"/>
      <c r="AQ26" s="85"/>
      <c r="AR26" s="85"/>
      <c r="AS26" s="85"/>
      <c r="BC26" s="36"/>
      <c r="BN26" s="53" t="s">
        <v>61</v>
      </c>
    </row>
    <row r="27" spans="1:66" s="9" customFormat="1" ht="15" customHeight="1" x14ac:dyDescent="0.35">
      <c r="A27" s="11"/>
      <c r="B27" s="66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8"/>
      <c r="AP27" s="7"/>
      <c r="AQ27" s="85"/>
      <c r="AR27" s="85"/>
      <c r="AS27" s="85"/>
      <c r="BC27" s="36"/>
      <c r="BN27" s="53" t="s">
        <v>62</v>
      </c>
    </row>
    <row r="28" spans="1:66" s="9" customFormat="1" ht="15" customHeight="1" x14ac:dyDescent="0.35">
      <c r="A28" s="11"/>
      <c r="B28" s="66"/>
      <c r="C28" s="67"/>
      <c r="D28" s="67" t="s">
        <v>129</v>
      </c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8"/>
      <c r="AP28" s="7"/>
      <c r="AQ28" s="85"/>
      <c r="AR28" s="85"/>
      <c r="AS28" s="85"/>
      <c r="BC28" s="36"/>
      <c r="BN28" s="53" t="s">
        <v>63</v>
      </c>
    </row>
    <row r="29" spans="1:66" s="9" customFormat="1" ht="15" customHeight="1" x14ac:dyDescent="0.35">
      <c r="A29" s="11"/>
      <c r="B29" s="66"/>
      <c r="C29" s="67"/>
      <c r="D29" s="67"/>
      <c r="E29" s="67" t="s">
        <v>139</v>
      </c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8"/>
      <c r="AP29" s="7"/>
      <c r="AQ29" s="85"/>
      <c r="AR29" s="85"/>
      <c r="AS29" s="85"/>
      <c r="BC29" s="36"/>
      <c r="BN29" s="53" t="s">
        <v>64</v>
      </c>
    </row>
    <row r="30" spans="1:66" s="9" customFormat="1" ht="15" customHeight="1" x14ac:dyDescent="0.35">
      <c r="A30" s="11"/>
      <c r="B30" s="66"/>
      <c r="C30" s="67"/>
      <c r="D30" s="67"/>
      <c r="E30" s="67" t="s">
        <v>140</v>
      </c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8"/>
      <c r="AP30" s="7"/>
      <c r="AQ30" s="85"/>
      <c r="AR30" s="85"/>
      <c r="AS30" s="85"/>
      <c r="BC30" s="36"/>
      <c r="BN30" s="20" t="s">
        <v>65</v>
      </c>
    </row>
    <row r="31" spans="1:66" s="9" customFormat="1" ht="15" customHeight="1" x14ac:dyDescent="0.35">
      <c r="A31" s="11"/>
      <c r="B31" s="66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8"/>
      <c r="AP31" s="7"/>
      <c r="AQ31" s="85"/>
      <c r="AR31" s="85"/>
      <c r="AS31" s="85"/>
      <c r="BC31" s="36"/>
      <c r="BN31" s="53" t="s">
        <v>61</v>
      </c>
    </row>
    <row r="32" spans="1:66" s="9" customFormat="1" ht="15" customHeight="1" x14ac:dyDescent="0.35">
      <c r="A32" s="11"/>
      <c r="B32" s="66"/>
      <c r="C32" s="67"/>
      <c r="D32" s="67"/>
      <c r="E32" s="67"/>
      <c r="F32" s="67"/>
      <c r="G32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8"/>
      <c r="AP32" s="7"/>
      <c r="AQ32" s="85"/>
      <c r="AR32" s="85"/>
      <c r="AS32" s="85"/>
      <c r="BC32" s="36"/>
      <c r="BN32" s="20" t="s">
        <v>66</v>
      </c>
    </row>
    <row r="33" spans="1:66" s="9" customFormat="1" ht="15" customHeight="1" x14ac:dyDescent="0.35">
      <c r="A33" s="11"/>
      <c r="B33" s="66"/>
      <c r="C33" s="67"/>
      <c r="D33" s="67" t="s">
        <v>130</v>
      </c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/>
      <c r="AI33" s="67"/>
      <c r="AJ33" s="67"/>
      <c r="AK33" s="67"/>
      <c r="AL33" s="67"/>
      <c r="AM33" s="67"/>
      <c r="AN33" s="67"/>
      <c r="AO33" s="68"/>
      <c r="AP33" s="7"/>
      <c r="AQ33" s="85"/>
      <c r="AR33" s="85"/>
      <c r="AS33" s="85"/>
      <c r="BC33" s="36"/>
      <c r="BN33" s="20" t="s">
        <v>67</v>
      </c>
    </row>
    <row r="34" spans="1:66" s="9" customFormat="1" ht="15" customHeight="1" x14ac:dyDescent="0.35">
      <c r="A34" s="11"/>
      <c r="B34" s="66"/>
      <c r="C34" s="67"/>
      <c r="D34" s="67"/>
      <c r="E34" s="67" t="s">
        <v>135</v>
      </c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8"/>
      <c r="AP34" s="7"/>
      <c r="AQ34" s="85"/>
      <c r="AR34" s="85"/>
      <c r="AS34" s="85"/>
      <c r="BC34" s="36"/>
      <c r="BN34" s="20" t="s">
        <v>68</v>
      </c>
    </row>
    <row r="35" spans="1:66" s="9" customFormat="1" ht="15" customHeight="1" x14ac:dyDescent="0.35">
      <c r="A35" s="11"/>
      <c r="B35" s="66"/>
      <c r="C35" s="67"/>
      <c r="D35" s="67"/>
      <c r="E35" s="67" t="s">
        <v>136</v>
      </c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67"/>
      <c r="AN35" s="67"/>
      <c r="AO35" s="68"/>
      <c r="AP35" s="7"/>
      <c r="AQ35" s="85"/>
      <c r="AR35" s="85"/>
      <c r="AS35" s="85"/>
      <c r="BC35" s="36"/>
      <c r="BN35" s="20" t="s">
        <v>69</v>
      </c>
    </row>
    <row r="36" spans="1:66" s="9" customFormat="1" ht="15" customHeight="1" x14ac:dyDescent="0.35">
      <c r="A36" s="11"/>
      <c r="B36" s="66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7"/>
      <c r="AE36" s="67"/>
      <c r="AF36" s="67"/>
      <c r="AG36" s="67"/>
      <c r="AH36" s="67"/>
      <c r="AI36" s="67"/>
      <c r="AJ36" s="67"/>
      <c r="AK36" s="67"/>
      <c r="AL36" s="67"/>
      <c r="AM36" s="67"/>
      <c r="AN36" s="67"/>
      <c r="AO36" s="68"/>
      <c r="AP36" s="7"/>
      <c r="AQ36" s="85"/>
      <c r="AR36" s="85"/>
      <c r="AS36" s="85"/>
      <c r="BC36" s="36"/>
      <c r="BN36" s="20" t="s">
        <v>70</v>
      </c>
    </row>
    <row r="37" spans="1:66" s="9" customFormat="1" ht="15" customHeight="1" x14ac:dyDescent="0.35">
      <c r="A37" s="11"/>
      <c r="B37" s="66"/>
      <c r="C37" s="67"/>
      <c r="D37" s="67"/>
      <c r="E37" s="67" t="s">
        <v>138</v>
      </c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D37" s="67"/>
      <c r="AE37" s="67"/>
      <c r="AF37" s="67"/>
      <c r="AG37" s="67"/>
      <c r="AH37" s="67"/>
      <c r="AI37" s="67"/>
      <c r="AJ37" s="67"/>
      <c r="AK37" s="67"/>
      <c r="AL37" s="67"/>
      <c r="AM37" s="67"/>
      <c r="AN37" s="67"/>
      <c r="AO37" s="68"/>
      <c r="AP37" s="7"/>
      <c r="AQ37" s="85"/>
      <c r="AR37" s="85"/>
      <c r="AS37" s="85"/>
      <c r="BC37" s="36"/>
      <c r="BN37" s="20" t="s">
        <v>71</v>
      </c>
    </row>
    <row r="38" spans="1:66" s="9" customFormat="1" ht="15" customHeight="1" x14ac:dyDescent="0.35">
      <c r="A38" s="11"/>
      <c r="B38" s="69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1"/>
      <c r="AP38" s="7"/>
      <c r="BC38" s="36"/>
      <c r="BN38" s="20" t="s">
        <v>72</v>
      </c>
    </row>
    <row r="39" spans="1:66" s="9" customFormat="1" ht="15" customHeight="1" x14ac:dyDescent="0.35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72" t="s">
        <v>52</v>
      </c>
      <c r="AJ39" s="124" t="str">
        <f>BA5</f>
        <v>22年度版'22/04</v>
      </c>
      <c r="AK39" s="124"/>
      <c r="AL39" s="124"/>
      <c r="AM39" s="124"/>
      <c r="AN39" s="124"/>
      <c r="AO39" s="124"/>
      <c r="AP39" s="7"/>
      <c r="BC39" s="36"/>
      <c r="BN39" s="20" t="s">
        <v>73</v>
      </c>
    </row>
    <row r="40" spans="1:66" s="9" customFormat="1" ht="15" customHeight="1" x14ac:dyDescent="0.35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7"/>
      <c r="BC40" s="36"/>
      <c r="BN40" s="20" t="s">
        <v>74</v>
      </c>
    </row>
    <row r="41" spans="1:66" s="9" customFormat="1" ht="15" customHeight="1" x14ac:dyDescent="0.35">
      <c r="A41" s="11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7"/>
      <c r="BC41" s="36"/>
      <c r="BN41" s="20" t="s">
        <v>61</v>
      </c>
    </row>
    <row r="42" spans="1:66" s="9" customFormat="1" ht="15" customHeight="1" x14ac:dyDescent="0.35">
      <c r="A42" s="11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7"/>
      <c r="BC42" s="36"/>
      <c r="BN42" s="53" t="s">
        <v>75</v>
      </c>
    </row>
    <row r="43" spans="1:66" s="9" customFormat="1" ht="15" customHeight="1" x14ac:dyDescent="0.35">
      <c r="A43" s="1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7"/>
      <c r="BC43" s="36"/>
      <c r="BN43" s="20" t="s">
        <v>117</v>
      </c>
    </row>
    <row r="44" spans="1:66" s="9" customFormat="1" ht="15" customHeight="1" x14ac:dyDescent="0.35">
      <c r="A44" s="11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7"/>
      <c r="BC44" s="36"/>
      <c r="BN44" s="20" t="s">
        <v>61</v>
      </c>
    </row>
    <row r="45" spans="1:66" s="9" customFormat="1" ht="15" customHeight="1" x14ac:dyDescent="0.35">
      <c r="A45" s="11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7"/>
      <c r="BC45" s="36"/>
      <c r="BN45" s="53" t="s">
        <v>123</v>
      </c>
    </row>
    <row r="46" spans="1:66" s="9" customFormat="1" ht="15" customHeight="1" x14ac:dyDescent="0.35">
      <c r="A46" s="11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7"/>
      <c r="BC46" s="36"/>
      <c r="BN46" s="20" t="s">
        <v>124</v>
      </c>
    </row>
    <row r="47" spans="1:66" s="9" customFormat="1" ht="15" customHeight="1" x14ac:dyDescent="0.35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7"/>
      <c r="BC47" s="36"/>
      <c r="BN47" s="20" t="s">
        <v>61</v>
      </c>
    </row>
    <row r="48" spans="1:66" s="9" customFormat="1" ht="15" customHeight="1" x14ac:dyDescent="0.35">
      <c r="A48" s="11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7"/>
      <c r="BC48" s="36"/>
      <c r="BN48" s="53" t="s">
        <v>76</v>
      </c>
    </row>
    <row r="49" spans="1:66" s="9" customFormat="1" ht="15" customHeight="1" x14ac:dyDescent="0.35">
      <c r="A49" s="11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7"/>
      <c r="BC49" s="36"/>
      <c r="BN49" s="20" t="s">
        <v>77</v>
      </c>
    </row>
    <row r="50" spans="1:66" s="9" customFormat="1" ht="15" customHeight="1" x14ac:dyDescent="0.35">
      <c r="A50" s="11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7"/>
      <c r="BC50" s="36"/>
      <c r="BN50" s="20" t="s">
        <v>61</v>
      </c>
    </row>
    <row r="51" spans="1:66" s="9" customFormat="1" ht="15" customHeight="1" x14ac:dyDescent="0.35">
      <c r="A51" s="11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7"/>
      <c r="BC51" s="36"/>
      <c r="BN51" s="53" t="s">
        <v>78</v>
      </c>
    </row>
    <row r="52" spans="1:66" s="9" customFormat="1" ht="15" customHeight="1" x14ac:dyDescent="0.35">
      <c r="A52" s="11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7"/>
      <c r="BC52" s="36"/>
      <c r="BN52" s="53" t="s">
        <v>118</v>
      </c>
    </row>
    <row r="53" spans="1:66" s="9" customFormat="1" ht="15" customHeight="1" x14ac:dyDescent="0.35">
      <c r="A53" s="11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7"/>
      <c r="BC53" s="36"/>
      <c r="BN53" s="53" t="s">
        <v>119</v>
      </c>
    </row>
    <row r="54" spans="1:66" s="9" customFormat="1" ht="15" customHeight="1" x14ac:dyDescent="0.35">
      <c r="A54" s="11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7"/>
      <c r="BC54" s="36"/>
      <c r="BN54" s="53" t="s">
        <v>61</v>
      </c>
    </row>
    <row r="55" spans="1:66" s="9" customFormat="1" ht="15" customHeight="1" x14ac:dyDescent="0.35">
      <c r="A55" s="11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7"/>
      <c r="BC55" s="36"/>
      <c r="BN55" s="53" t="s">
        <v>79</v>
      </c>
    </row>
    <row r="56" spans="1:66" s="9" customFormat="1" ht="15" customHeight="1" x14ac:dyDescent="0.35">
      <c r="A56" s="11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7"/>
      <c r="BC56" s="36"/>
      <c r="BN56" s="53" t="s">
        <v>120</v>
      </c>
    </row>
    <row r="57" spans="1:66" s="9" customFormat="1" ht="15" customHeight="1" x14ac:dyDescent="0.35">
      <c r="A57" s="11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7"/>
      <c r="BC57" s="36"/>
      <c r="BN57" s="53" t="s">
        <v>80</v>
      </c>
    </row>
    <row r="58" spans="1:66" s="9" customFormat="1" ht="15" customHeight="1" x14ac:dyDescent="0.35">
      <c r="A58" s="11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7"/>
      <c r="BC58" s="36"/>
      <c r="BN58" s="53" t="s">
        <v>81</v>
      </c>
    </row>
    <row r="59" spans="1:66" s="9" customFormat="1" ht="15" customHeight="1" x14ac:dyDescent="0.35">
      <c r="A59" s="11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7"/>
      <c r="BC59" s="36"/>
      <c r="BN59" s="53" t="s">
        <v>82</v>
      </c>
    </row>
    <row r="60" spans="1:66" s="9" customFormat="1" ht="15" customHeight="1" x14ac:dyDescent="0.35">
      <c r="A60" s="11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7"/>
      <c r="BC60" s="36"/>
      <c r="BN60" s="53" t="s">
        <v>61</v>
      </c>
    </row>
    <row r="61" spans="1:66" s="9" customFormat="1" ht="15" customHeight="1" x14ac:dyDescent="0.35">
      <c r="A61" s="11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7"/>
      <c r="AQ61" s="15"/>
      <c r="BC61" s="36"/>
      <c r="BN61" s="53" t="s">
        <v>83</v>
      </c>
    </row>
    <row r="62" spans="1:66" s="9" customFormat="1" ht="15" customHeight="1" x14ac:dyDescent="0.35">
      <c r="A62" s="11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7"/>
      <c r="AQ62" s="4"/>
      <c r="AR62" s="4"/>
      <c r="AS62" s="4"/>
      <c r="AT62" s="4"/>
      <c r="BC62" s="36"/>
      <c r="BN62" s="53" t="s">
        <v>84</v>
      </c>
    </row>
    <row r="63" spans="1:66" s="9" customFormat="1" ht="15" customHeight="1" x14ac:dyDescent="0.35">
      <c r="A63" s="11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7"/>
      <c r="AQ63" s="4"/>
      <c r="AR63" s="4"/>
      <c r="AS63" s="4"/>
      <c r="AT63" s="4"/>
      <c r="BC63" s="36"/>
      <c r="BN63" s="53" t="s">
        <v>121</v>
      </c>
    </row>
    <row r="64" spans="1:66" ht="15" customHeight="1" x14ac:dyDescent="0.35">
      <c r="A64" s="11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7"/>
      <c r="BN64" s="53" t="s">
        <v>122</v>
      </c>
    </row>
    <row r="65" spans="1:66" ht="15" customHeight="1" x14ac:dyDescent="0.35">
      <c r="A65" s="11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"/>
      <c r="BN65" s="53" t="s">
        <v>61</v>
      </c>
    </row>
    <row r="66" spans="1:66" ht="15" customHeight="1" x14ac:dyDescent="0.35">
      <c r="A66" s="11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4"/>
      <c r="Z66" s="13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</row>
    <row r="67" spans="1:66" ht="15" customHeight="1" x14ac:dyDescent="0.35">
      <c r="A67" s="11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</row>
    <row r="68" spans="1:66" ht="15" customHeight="1" x14ac:dyDescent="0.35">
      <c r="A68" s="10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</row>
    <row r="69" spans="1:66" ht="15" customHeight="1" x14ac:dyDescent="0.3">
      <c r="A69" s="17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</row>
  </sheetData>
  <sheetProtection algorithmName="SHA-512" hashValue="//fSNPb4n6KZ7fH5pk79KIYNN6FqEavY6SsPXOF6ayOOhar4CUH5483ucHFsWGfQ6SuCMhp1YWRqtE0HE1Ix2Q==" saltValue="6QxghAmRGlP8RDqMBxMRDw==" spinCount="100000" sheet="1" formatCells="0" formatColumns="0" formatRows="0" insertHyperlinks="0" deleteColumns="0" deleteRows="0" selectLockedCells="1" sort="0" autoFilter="0" pivotTables="0"/>
  <mergeCells count="55">
    <mergeCell ref="J3:S3"/>
    <mergeCell ref="H6:AE6"/>
    <mergeCell ref="AB2:AI2"/>
    <mergeCell ref="T3:W3"/>
    <mergeCell ref="AJ2:AL2"/>
    <mergeCell ref="T2:W2"/>
    <mergeCell ref="AF5:AL5"/>
    <mergeCell ref="AF6:AG6"/>
    <mergeCell ref="AJ39:AO39"/>
    <mergeCell ref="B5:G5"/>
    <mergeCell ref="B6:G6"/>
    <mergeCell ref="BA5:BB5"/>
    <mergeCell ref="AM2:AO2"/>
    <mergeCell ref="AJ3:AL3"/>
    <mergeCell ref="AK6:AL6"/>
    <mergeCell ref="AM3:AO3"/>
    <mergeCell ref="AM5:AO5"/>
    <mergeCell ref="AB3:AI3"/>
    <mergeCell ref="AM6:AO6"/>
    <mergeCell ref="AI6:AJ6"/>
    <mergeCell ref="H5:AE5"/>
    <mergeCell ref="J2:S2"/>
    <mergeCell ref="X3:AA3"/>
    <mergeCell ref="X2:AA2"/>
    <mergeCell ref="B8:H8"/>
    <mergeCell ref="I8:M8"/>
    <mergeCell ref="P8:V8"/>
    <mergeCell ref="W8:AA8"/>
    <mergeCell ref="AD8:AJ8"/>
    <mergeCell ref="AK8:AO8"/>
    <mergeCell ref="B9:C9"/>
    <mergeCell ref="J9:M9"/>
    <mergeCell ref="N9:O10"/>
    <mergeCell ref="P9:Q9"/>
    <mergeCell ref="X9:AA9"/>
    <mergeCell ref="AB9:AC10"/>
    <mergeCell ref="AD9:AK9"/>
    <mergeCell ref="AL9:AO9"/>
    <mergeCell ref="B10:C10"/>
    <mergeCell ref="D10:E10"/>
    <mergeCell ref="F10:I10"/>
    <mergeCell ref="J10:M10"/>
    <mergeCell ref="P10:Q10"/>
    <mergeCell ref="R10:S10"/>
    <mergeCell ref="T10:W10"/>
    <mergeCell ref="AL10:AO10"/>
    <mergeCell ref="AD10:AK10"/>
    <mergeCell ref="AD11:AO11"/>
    <mergeCell ref="X10:AA10"/>
    <mergeCell ref="B11:C11"/>
    <mergeCell ref="F11:I11"/>
    <mergeCell ref="J11:M11"/>
    <mergeCell ref="P11:Q11"/>
    <mergeCell ref="T11:W11"/>
    <mergeCell ref="X11:AA11"/>
  </mergeCells>
  <phoneticPr fontId="2"/>
  <dataValidations count="7">
    <dataValidation type="list" allowBlank="1" showInputMessage="1" showErrorMessage="1" sqref="T3:W3">
      <formula1>$BK$9:$BK$12</formula1>
    </dataValidation>
    <dataValidation imeMode="disabled" allowBlank="1" showInputMessage="1" showErrorMessage="1" sqref="X3 B6:G6 J10:M11 AL9:AO9 X10:AA11"/>
    <dataValidation type="list" imeMode="disabled" allowBlank="1" showInputMessage="1" showErrorMessage="1" sqref="AF6:AG6">
      <formula1>$BL$9:$BL$13</formula1>
    </dataValidation>
    <dataValidation type="list" imeMode="disabled" allowBlank="1" showInputMessage="1" showErrorMessage="1" sqref="AI6:AJ6">
      <formula1>$BM$9:$BM$20</formula1>
    </dataValidation>
    <dataValidation type="decimal" imeMode="disabled" operator="greaterThanOrEqual" allowBlank="1" showInputMessage="1" showErrorMessage="1" sqref="D10:E10 R10:S10">
      <formula1>0</formula1>
    </dataValidation>
    <dataValidation type="whole" imeMode="disabled" operator="greaterThanOrEqual" allowBlank="1" showInputMessage="1" showErrorMessage="1" sqref="X9:AA9 J9:M9">
      <formula1>0</formula1>
    </dataValidation>
    <dataValidation type="list" allowBlank="1" sqref="J3:S3">
      <formula1>$BN$9:$BN$65</formula1>
    </dataValidation>
  </dataValidations>
  <pageMargins left="0.19685039370078741" right="0.19685039370078741" top="0.19685039370078741" bottom="0.19685039370078741" header="0.23622047244094491" footer="0.1574803149606299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提案用紙</vt:lpstr>
      <vt:lpstr>提案用紙!Print_Area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江田　敦典</dc:creator>
  <cp:lastModifiedBy>村瀬　廣起</cp:lastModifiedBy>
  <cp:lastPrinted>2021-07-20T23:11:12Z</cp:lastPrinted>
  <dcterms:created xsi:type="dcterms:W3CDTF">1997-01-08T22:48:59Z</dcterms:created>
  <dcterms:modified xsi:type="dcterms:W3CDTF">2022-09-08T08:33:52Z</dcterms:modified>
</cp:coreProperties>
</file>